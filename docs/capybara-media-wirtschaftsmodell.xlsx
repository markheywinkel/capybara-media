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ahmen" sheetId="1" state="visible" r:id="rId3"/>
    <sheet name="Sim_Boulevard" sheetId="2" state="visible" r:id="rId4"/>
    <sheet name="Sim_Investigativ" sheetId="3" state="visible" r:id="rId5"/>
    <sheet name="Sim_Gemischt" sheetId="4" state="visible" r:id="rId6"/>
    <sheet name="Vergleic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<sst xmlns="http://schemas.openxmlformats.org/spreadsheetml/2006/main" count="89" uniqueCount="64">
  <si>
    <t xml:space="preserve">Capybara Media — Wirtschafts-Annahmen (Text-Etage, MVP-Modell)</t>
  </si>
  <si>
    <t xml:space="preserve">Alle blauen Zellen sind Eingaben — hier änderst du Werte, um Balance zu testen.</t>
  </si>
  <si>
    <t xml:space="preserve">Start-Kapital</t>
  </si>
  <si>
    <t xml:space="preserve">Geld zu Spielbeginn</t>
  </si>
  <si>
    <t xml:space="preserve">Start-Reichweite</t>
  </si>
  <si>
    <t xml:space="preserve">Reichweite zu Spielbeginn</t>
  </si>
  <si>
    <t xml:space="preserve">Start-Reputation (0-100)</t>
  </si>
  <si>
    <t xml:space="preserve">Reputation zu Spielbeginn</t>
  </si>
  <si>
    <t xml:space="preserve">Start-Abonnenten</t>
  </si>
  <si>
    <t xml:space="preserve">Abonnenten zu Spielbeginn</t>
  </si>
  <si>
    <t xml:space="preserve">Preis pro Abo</t>
  </si>
  <si>
    <t xml:space="preserve">Erlös pro Abonnent und Tag</t>
  </si>
  <si>
    <t xml:space="preserve">Basis-Werbepreis pro Reichweiten-Einheit (bei Reputation=100)</t>
  </si>
  <si>
    <t xml:space="preserve">Skaliert mit aktueller Reputation/100</t>
  </si>
  <si>
    <t xml:space="preserve">Konversionsrate-Basis (bei Reputation=100)</t>
  </si>
  <si>
    <t xml:space="preserve">Anteil der Reichweite, der potenziell Abo wird</t>
  </si>
  <si>
    <t xml:space="preserve">Anpassungsrate Abonnenten (Trägheit)</t>
  </si>
  <si>
    <t xml:space="preserve">Wie schnell sich Abo-Zahl an Ziel anpasst, s. Design-Dok Abschnitt 5</t>
  </si>
  <si>
    <t xml:space="preserve">Reichweiten-Zerfall pro Tag</t>
  </si>
  <si>
    <t xml:space="preserve">Anteil, der täglich ohne neue Story verloren geht</t>
  </si>
  <si>
    <t xml:space="preserve">Reputations-Mean-Reversion-Rate</t>
  </si>
  <si>
    <t xml:space="preserve">Zieht Reputation pro Tag leicht Richtung 50 zurück</t>
  </si>
  <si>
    <t xml:space="preserve">Basis-Reichweitenzuwachs pro Story</t>
  </si>
  <si>
    <t xml:space="preserve">Reichweitengewinn einer Durchschnitts-Story</t>
  </si>
  <si>
    <t xml:space="preserve">Boulevard-Reichweiten-Bonusfaktor</t>
  </si>
  <si>
    <t xml:space="preserve">Wie stark Grad 5 vs. Grad 3 die Reichweite erhöht</t>
  </si>
  <si>
    <t xml:space="preserve">Boulevard-Reputations-Malusfaktor</t>
  </si>
  <si>
    <t xml:space="preserve">Reputationsverlust pro Grad-Punkt über 3</t>
  </si>
  <si>
    <t xml:space="preserve">Gehalt pro Skill-Punkt pro Tag</t>
  </si>
  <si>
    <t xml:space="preserve">Lohnkosten-Baustein</t>
  </si>
  <si>
    <t xml:space="preserve">Anzahl Mitarbeitende Text-Etage (Vollbesetzung)</t>
  </si>
  <si>
    <t xml:space="preserve">s. Design-Dok Abschnitt 2</t>
  </si>
  <si>
    <t xml:space="preserve">Durchschnitts-Skill Team</t>
  </si>
  <si>
    <t xml:space="preserve">Skala 1-5, s. Design-Dok Abschnitt 4</t>
  </si>
  <si>
    <t xml:space="preserve">Etagen-Fixkosten Text pro Tag</t>
  </si>
  <si>
    <t xml:space="preserve">Fällt unabhängig von Besetzung an</t>
  </si>
  <si>
    <t xml:space="preserve">Reichweiten-Infrastrukturkosten pro Einheit</t>
  </si>
  <si>
    <t xml:space="preserve">Unabhängig von Reputation, s. Design-Dok Abschnitt 5</t>
  </si>
  <si>
    <t xml:space="preserve">Simulationsdauer (Tage)</t>
  </si>
  <si>
    <t xml:space="preserve">Anzahl simulierter Spieltage</t>
  </si>
  <si>
    <t xml:space="preserve">Abwechslungs-Fenstergröße (Tage)</t>
  </si>
  <si>
    <t xml:space="preserve">Gleitender Durchschnitt der letzten N Tage zur Monotonie-Messung</t>
  </si>
  <si>
    <t xml:space="preserve">Abwechslungs-Bonusfaktor Reichweite</t>
  </si>
  <si>
    <t xml:space="preserve">Wirkung von Abweichung vom eigenen Durchschnitt auf Reichweite</t>
  </si>
  <si>
    <t xml:space="preserve">Abwechslungs-Referenzwert</t>
  </si>
  <si>
    <t xml:space="preserve">Erwartete 'gesunde' Abweichung — darunter: Monotonie-Malus, darüber: Bonus</t>
  </si>
  <si>
    <t xml:space="preserve">Abwechslungs-Bonusfaktor Reputation</t>
  </si>
  <si>
    <t xml:space="preserve">Wirkung von Abweichung vom eigenen Durchschnitt auf Reputation</t>
  </si>
  <si>
    <t xml:space="preserve">Tag</t>
  </si>
  <si>
    <t xml:space="preserve">Boulevard-Grad</t>
  </si>
  <si>
    <t xml:space="preserve">Reichweite</t>
  </si>
  <si>
    <t xml:space="preserve">Reputation</t>
  </si>
  <si>
    <t xml:space="preserve">Abonnenten</t>
  </si>
  <si>
    <t xml:space="preserve">Werbe-Erlös</t>
  </si>
  <si>
    <t xml:space="preserve">Abo-Erlös</t>
  </si>
  <si>
    <t xml:space="preserve">Kosten</t>
  </si>
  <si>
    <t xml:space="preserve">Gewinn</t>
  </si>
  <si>
    <t xml:space="preserve">Kontostand</t>
  </si>
  <si>
    <t xml:space="preserve">Gleitender Ø-Grad</t>
  </si>
  <si>
    <t xml:space="preserve">Abwechslung |Grad-Ø|</t>
  </si>
  <si>
    <t xml:space="preserve">Kontostand-Vergleich der drei Strategien über 100 Tage</t>
  </si>
  <si>
    <t xml:space="preserve">Kontostand: Immer Boulevard</t>
  </si>
  <si>
    <t xml:space="preserve">Kontostand: Immer Investigativ</t>
  </si>
  <si>
    <t xml:space="preserve">Kontostand: Gemischt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</si>
</sst>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777777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Kontostand über 100 Tage nach Strategie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Vergleich!B3</c:f>
              <c:strCache>
                <c:ptCount val="1"/>
                <c:pt idx="0">
                  <c:v>Kontostand: Immer Boulevard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Vergleich!$A$4:$A$103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Vergleich!$B$4:$B$103</c:f>
              <c:numCache>
                <c:formatCode>General</c:formatCode>
                <c:ptCount val="100"/>
                <c:pt idx="0">
                  <c:v>452.67455</c:v>
                </c:pt>
                <c:pt idx="1">
                  <c:v>403.519935075</c:v>
                </c:pt>
                <c:pt idx="2">
                  <c:v>352.476832191613</c:v>
                </c:pt>
                <c:pt idx="3">
                  <c:v>299.446486537096</c:v>
                </c:pt>
                <c:pt idx="4">
                  <c:v>244.303689179502</c:v>
                </c:pt>
                <c:pt idx="5">
                  <c:v>186.907103912357</c:v>
                </c:pt>
                <c:pt idx="6">
                  <c:v>127.107403258158</c:v>
                </c:pt>
                <c:pt idx="7">
                  <c:v>64.7535993727809</c:v>
                </c:pt>
                <c:pt idx="8">
                  <c:v>-0.302107076682546</c:v>
                </c:pt>
                <c:pt idx="9">
                  <c:v>-68.2006898640375</c:v>
                </c:pt>
                <c:pt idx="10">
                  <c:v>-139.073646372179</c:v>
                </c:pt>
                <c:pt idx="11">
                  <c:v>-212.894635053545</c:v>
                </c:pt>
                <c:pt idx="12">
                  <c:v>-289.031569029968</c:v>
                </c:pt>
                <c:pt idx="13">
                  <c:v>-367.144133699271</c:v>
                </c:pt>
                <c:pt idx="14">
                  <c:v>-446.942849333843</c:v>
                </c:pt>
                <c:pt idx="15">
                  <c:v>-528.181452218922</c:v>
                </c:pt>
                <c:pt idx="16">
                  <c:v>-610.650418429061</c:v>
                </c:pt>
                <c:pt idx="17">
                  <c:v>-694.171458852768</c:v>
                </c:pt>
                <c:pt idx="18">
                  <c:v>-778.592839783654</c:v>
                </c:pt>
                <c:pt idx="19">
                  <c:v>-863.785405248521</c:v>
                </c:pt>
                <c:pt idx="20">
                  <c:v>-949.639195817063</c:v>
                </c:pt>
                <c:pt idx="21">
                  <c:v>-1036.06057442603</c:v>
                </c:pt>
                <c:pt idx="22">
                  <c:v>-1122.96978317058</c:v>
                </c:pt>
                <c:pt idx="23">
                  <c:v>-1210.29886642257</c:v>
                </c:pt>
                <c:pt idx="24">
                  <c:v>-1297.98990533131</c:v>
                </c:pt>
                <c:pt idx="25">
                  <c:v>-1385.99351700395</c:v>
                </c:pt>
                <c:pt idx="26">
                  <c:v>-1474.26757866791</c:v>
                </c:pt>
                <c:pt idx="27">
                  <c:v>-1562.77614307221</c:v>
                </c:pt>
                <c:pt idx="28">
                  <c:v>-1651.48851644611</c:v>
                </c:pt>
                <c:pt idx="29">
                  <c:v>-1740.37847463526</c:v>
                </c:pt>
                <c:pt idx="30">
                  <c:v>-1829.42359669274</c:v>
                </c:pt>
                <c:pt idx="31">
                  <c:v>-1918.60469831038</c:v>
                </c:pt>
                <c:pt idx="32">
                  <c:v>-2007.90535011811</c:v>
                </c:pt>
                <c:pt idx="33">
                  <c:v>-2097.31146812443</c:v>
                </c:pt>
                <c:pt idx="34">
                  <c:v>-2186.81096548046</c:v>
                </c:pt>
                <c:pt idx="35">
                  <c:v>-2276.39345637222</c:v>
                </c:pt>
                <c:pt idx="36">
                  <c:v>-2366.05000422518</c:v>
                </c:pt>
                <c:pt idx="37">
                  <c:v>-2455.77290757731</c:v>
                </c:pt>
                <c:pt idx="38">
                  <c:v>-2545.55551797342</c:v>
                </c:pt>
                <c:pt idx="39">
                  <c:v>-2635.39208508051</c:v>
                </c:pt>
                <c:pt idx="40">
                  <c:v>-2725.27762494382</c:v>
                </c:pt>
                <c:pt idx="41">
                  <c:v>-2815.20780791525</c:v>
                </c:pt>
                <c:pt idx="42">
                  <c:v>-2905.17886330595</c:v>
                </c:pt>
                <c:pt idx="43">
                  <c:v>-2995.18749825708</c:v>
                </c:pt>
                <c:pt idx="44">
                  <c:v>-3085.23082869851</c:v>
                </c:pt>
                <c:pt idx="45">
                  <c:v>-3175.30632058471</c:v>
                </c:pt>
                <c:pt idx="46">
                  <c:v>-3265.41173986862</c:v>
                </c:pt>
                <c:pt idx="47">
                  <c:v>-3355.54510990518</c:v>
                </c:pt>
                <c:pt idx="48">
                  <c:v>-3445.70467517212</c:v>
                </c:pt>
                <c:pt idx="49">
                  <c:v>-3535.88887036282</c:v>
                </c:pt>
                <c:pt idx="50">
                  <c:v>-3626.09629404729</c:v>
                </c:pt>
                <c:pt idx="51">
                  <c:v>-3716.32568621831</c:v>
                </c:pt>
                <c:pt idx="52">
                  <c:v>-3806.5759091417</c:v>
                </c:pt>
                <c:pt idx="53">
                  <c:v>-3896.84593101728</c:v>
                </c:pt>
                <c:pt idx="54">
                  <c:v>-3987.1348120305</c:v>
                </c:pt>
                <c:pt idx="55">
                  <c:v>-4077.44169243813</c:v>
                </c:pt>
                <c:pt idx="56">
                  <c:v>-4167.76578238464</c:v>
                </c:pt>
                <c:pt idx="57">
                  <c:v>-4258.10635319117</c:v>
                </c:pt>
                <c:pt idx="58">
                  <c:v>-4348.46272989818</c:v>
                </c:pt>
                <c:pt idx="59">
                  <c:v>-4438.83428487494</c:v>
                </c:pt>
                <c:pt idx="60">
                  <c:v>-4529.22043233772</c:v>
                </c:pt>
                <c:pt idx="61">
                  <c:v>-4619.62062364164</c:v>
                </c:pt>
                <c:pt idx="62">
                  <c:v>-4710.03434323172</c:v>
                </c:pt>
                <c:pt idx="63">
                  <c:v>-4800.46110515557</c:v>
                </c:pt>
                <c:pt idx="64">
                  <c:v>-4890.90045005496</c:v>
                </c:pt>
                <c:pt idx="65">
                  <c:v>-4981.35194256563</c:v>
                </c:pt>
                <c:pt idx="66">
                  <c:v>-5071.81516906552</c:v>
                </c:pt>
                <c:pt idx="67">
                  <c:v>-5162.28973572026</c:v>
                </c:pt>
                <c:pt idx="68">
                  <c:v>-5252.77526678273</c:v>
                </c:pt>
                <c:pt idx="69">
                  <c:v>-5343.27140310959</c:v>
                </c:pt>
                <c:pt idx="70">
                  <c:v>-5433.77780086347</c:v>
                </c:pt>
                <c:pt idx="71">
                  <c:v>-5524.29413037403</c:v>
                </c:pt>
                <c:pt idx="72">
                  <c:v>-5614.82007513519</c:v>
                </c:pt>
                <c:pt idx="73">
                  <c:v>-5705.35533091903</c:v>
                </c:pt>
                <c:pt idx="74">
                  <c:v>-5795.89960499005</c:v>
                </c:pt>
                <c:pt idx="75">
                  <c:v>-5886.45261540553</c:v>
                </c:pt>
                <c:pt idx="76">
                  <c:v>-5977.01409039014</c:v>
                </c:pt>
                <c:pt idx="77">
                  <c:v>-6067.58376777458</c:v>
                </c:pt>
                <c:pt idx="78">
                  <c:v>-6158.16139448944</c:v>
                </c:pt>
                <c:pt idx="79">
                  <c:v>-6248.74672610701</c:v>
                </c:pt>
                <c:pt idx="80">
                  <c:v>-6339.3395264246</c:v>
                </c:pt>
                <c:pt idx="81">
                  <c:v>-6429.93956708392</c:v>
                </c:pt>
                <c:pt idx="82">
                  <c:v>-6520.54662722203</c:v>
                </c:pt>
                <c:pt idx="83">
                  <c:v>-6611.16049314977</c:v>
                </c:pt>
                <c:pt idx="84">
                  <c:v>-6701.78095805441</c:v>
                </c:pt>
                <c:pt idx="85">
                  <c:v>-6792.40782172341</c:v>
                </c:pt>
                <c:pt idx="86">
                  <c:v>-6883.04089028712</c:v>
                </c:pt>
                <c:pt idx="87">
                  <c:v>-6973.67997597799</c:v>
                </c:pt>
                <c:pt idx="88">
                  <c:v>-7064.32489690458</c:v>
                </c:pt>
                <c:pt idx="89">
                  <c:v>-7154.97547683887</c:v>
                </c:pt>
                <c:pt idx="90">
                  <c:v>-7245.63154501529</c:v>
                </c:pt>
                <c:pt idx="91">
                  <c:v>-7336.29293594056</c:v>
                </c:pt>
                <c:pt idx="92">
                  <c:v>-7426.95948921308</c:v>
                </c:pt>
                <c:pt idx="93">
                  <c:v>-7517.6310493512</c:v>
                </c:pt>
                <c:pt idx="94">
                  <c:v>-7608.30746562938</c:v>
                </c:pt>
                <c:pt idx="95">
                  <c:v>-7698.98859192178</c:v>
                </c:pt>
                <c:pt idx="96">
                  <c:v>-7789.67428655259</c:v>
                </c:pt>
                <c:pt idx="97">
                  <c:v>-7880.36441215259</c:v>
                </c:pt>
                <c:pt idx="98">
                  <c:v>-7971.05883552147</c:v>
                </c:pt>
                <c:pt idx="99">
                  <c:v>-8061.75742749565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Vergleich!C3</c:f>
              <c:strCache>
                <c:ptCount val="1"/>
                <c:pt idx="0">
                  <c:v>Kontostand: Immer Investigativ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Vergleich!$A$4:$A$103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Vergleich!$C$4:$C$103</c:f>
              <c:numCache>
                <c:formatCode>General</c:formatCode>
                <c:ptCount val="100"/>
                <c:pt idx="0">
                  <c:v>453.40385</c:v>
                </c:pt>
                <c:pt idx="1">
                  <c:v>406.180968525</c:v>
                </c:pt>
                <c:pt idx="2">
                  <c:v>358.724685635787</c:v>
                </c:pt>
                <c:pt idx="3">
                  <c:v>311.363480666053</c:v>
                </c:pt>
                <c:pt idx="4">
                  <c:v>264.370570364394</c:v>
                </c:pt>
                <c:pt idx="5">
                  <c:v>217.972091198051</c:v>
                </c:pt>
                <c:pt idx="6">
                  <c:v>172.354083335445</c:v>
                </c:pt>
                <c:pt idx="7">
                  <c:v>127.668452993847</c:v>
                </c:pt>
                <c:pt idx="8">
                  <c:v>84.0380636076701</c:v>
                </c:pt>
                <c:pt idx="9">
                  <c:v>41.5610839539267</c:v>
                </c:pt>
                <c:pt idx="10">
                  <c:v>0.314702379406612</c:v>
                </c:pt>
                <c:pt idx="11">
                  <c:v>-39.6416998882288</c:v>
                </c:pt>
                <c:pt idx="12">
                  <c:v>-78.2638371188801</c:v>
                </c:pt>
                <c:pt idx="13">
                  <c:v>-115.52020162988</c:v>
                </c:pt>
                <c:pt idx="14">
                  <c:v>-151.390082956272</c:v>
                </c:pt>
                <c:pt idx="15">
                  <c:v>-185.861874576129</c:v>
                </c:pt>
                <c:pt idx="16">
                  <c:v>-218.931626350846</c:v>
                </c:pt>
                <c:pt idx="17">
                  <c:v>-250.601806993426</c:v>
                </c:pt>
                <c:pt idx="18">
                  <c:v>-280.880246118348</c:v>
                </c:pt>
                <c:pt idx="19">
                  <c:v>-309.779229890897</c:v>
                </c:pt>
                <c:pt idx="20">
                  <c:v>-337.314728097275</c:v>
                </c:pt>
                <c:pt idx="21">
                  <c:v>-363.505733697955</c:v>
                </c:pt>
                <c:pt idx="22">
                  <c:v>-388.373698689146</c:v>
                </c:pt>
                <c:pt idx="23">
                  <c:v>-411.942052452178</c:v>
                </c:pt>
                <c:pt idx="24">
                  <c:v>-434.235790778595</c:v>
                </c:pt>
                <c:pt idx="25">
                  <c:v>-455.28112547126</c:v>
                </c:pt>
                <c:pt idx="26">
                  <c:v>-475.105185882755</c:v>
                </c:pt>
                <c:pt idx="27">
                  <c:v>-493.735764998986</c:v>
                </c:pt>
                <c:pt idx="28">
                  <c:v>-511.20110374</c:v>
                </c:pt>
                <c:pt idx="29">
                  <c:v>-527.529708058538</c:v>
                </c:pt>
                <c:pt idx="30">
                  <c:v>-542.750194192846</c:v>
                </c:pt>
                <c:pt idx="31">
                  <c:v>-556.891158093225</c:v>
                </c:pt>
                <c:pt idx="32">
                  <c:v>-569.981065608468</c:v>
                </c:pt>
                <c:pt idx="33">
                  <c:v>-582.048160502828</c:v>
                </c:pt>
                <c:pt idx="34">
                  <c:v>-593.120387788594</c:v>
                </c:pt>
                <c:pt idx="35">
                  <c:v>-603.225330214004</c:v>
                </c:pt>
                <c:pt idx="36">
                  <c:v>-612.390156049867</c:v>
                </c:pt>
                <c:pt idx="37">
                  <c:v>-620.641576578328</c:v>
                </c:pt>
                <c:pt idx="38">
                  <c:v>-628.005811910089</c:v>
                </c:pt>
                <c:pt idx="39">
                  <c:v>-634.508563947543</c:v>
                </c:pt>
                <c:pt idx="40">
                  <c:v>-640.174995475166</c:v>
                </c:pt>
                <c:pt idx="41">
                  <c:v>-645.029714499342</c:v>
                </c:pt>
                <c:pt idx="42">
                  <c:v>-649.096763080585</c:v>
                </c:pt>
                <c:pt idx="43">
                  <c:v>-652.399610005124</c:v>
                </c:pt>
                <c:pt idx="44">
                  <c:v>-654.961146732088</c:v>
                </c:pt>
                <c:pt idx="45">
                  <c:v>-656.803686129495</c:v>
                </c:pt>
                <c:pt idx="46">
                  <c:v>-657.948963578451</c:v>
                </c:pt>
                <c:pt idx="47">
                  <c:v>-658.418140082052</c:v>
                </c:pt>
                <c:pt idx="48">
                  <c:v>-658.231807064727</c:v>
                </c:pt>
                <c:pt idx="49">
                  <c:v>-657.409992590242</c:v>
                </c:pt>
                <c:pt idx="50">
                  <c:v>-655.97216876329</c:v>
                </c:pt>
                <c:pt idx="51">
                  <c:v>-653.937260111342</c:v>
                </c:pt>
                <c:pt idx="52">
                  <c:v>-651.323652770867</c:v>
                </c:pt>
                <c:pt idx="53">
                  <c:v>-648.149204325802</c:v>
                </c:pt>
                <c:pt idx="54">
                  <c:v>-644.431254166766</c:v>
                </c:pt>
                <c:pt idx="55">
                  <c:v>-640.186634257351</c:v>
                </c:pt>
                <c:pt idx="56">
                  <c:v>-635.431680209338</c:v>
                </c:pt>
                <c:pt idx="57">
                  <c:v>-630.182242582143</c:v>
                </c:pt>
                <c:pt idx="58">
                  <c:v>-624.453698333498</c:v>
                </c:pt>
                <c:pt idx="59">
                  <c:v>-618.260962358549</c:v>
                </c:pt>
                <c:pt idx="60">
                  <c:v>-611.61849906342</c:v>
                </c:pt>
                <c:pt idx="61">
                  <c:v>-604.540333926985</c:v>
                </c:pt>
                <c:pt idx="62">
                  <c:v>-597.040065011319</c:v>
                </c:pt>
                <c:pt idx="63">
                  <c:v>-589.130874387171</c:v>
                </c:pt>
                <c:pt idx="64">
                  <c:v>-580.825539445884</c:v>
                </c:pt>
                <c:pt idx="65">
                  <c:v>-572.136444073679</c:v>
                </c:pt>
                <c:pt idx="66">
                  <c:v>-563.075589668057</c:v>
                </c:pt>
                <c:pt idx="67">
                  <c:v>-553.654605979538</c:v>
                </c:pt>
                <c:pt idx="68">
                  <c:v>-543.884761764841</c:v>
                </c:pt>
                <c:pt idx="69">
                  <c:v>-533.776975240267</c:v>
                </c:pt>
                <c:pt idx="70">
                  <c:v>-523.341824326232</c:v>
                </c:pt>
                <c:pt idx="71">
                  <c:v>-512.589556675916</c:v>
                </c:pt>
                <c:pt idx="72">
                  <c:v>-501.530099482689</c:v>
                </c:pt>
                <c:pt idx="73">
                  <c:v>-490.173069062439</c:v>
                </c:pt>
                <c:pt idx="74">
                  <c:v>-478.527780208271</c:v>
                </c:pt>
                <c:pt idx="75">
                  <c:v>-466.60325531613</c:v>
                </c:pt>
                <c:pt idx="76">
                  <c:v>-454.408233280896</c:v>
                </c:pt>
                <c:pt idx="77">
                  <c:v>-441.951178163327</c:v>
                </c:pt>
                <c:pt idx="78">
                  <c:v>-429.240287628977</c:v>
                </c:pt>
                <c:pt idx="79">
                  <c:v>-416.283501160803</c:v>
                </c:pt>
                <c:pt idx="80">
                  <c:v>-403.088508047735</c:v>
                </c:pt>
                <c:pt idx="81">
                  <c:v>-389.662755151943</c:v>
                </c:pt>
                <c:pt idx="82">
                  <c:v>-376.01345445788</c:v>
                </c:pt>
                <c:pt idx="83">
                  <c:v>-362.147590406552</c:v>
                </c:pt>
                <c:pt idx="84">
                  <c:v>-348.0719270187</c:v>
                </c:pt>
                <c:pt idx="85">
                  <c:v>-333.793014810807</c:v>
                </c:pt>
                <c:pt idx="86">
                  <c:v>-319.317197508037</c:v>
                </c:pt>
                <c:pt idx="87">
                  <c:v>-304.650618558328</c:v>
                </c:pt>
                <c:pt idx="88">
                  <c:v>-289.799227451997</c:v>
                </c:pt>
                <c:pt idx="89">
                  <c:v>-274.768785851272</c:v>
                </c:pt>
                <c:pt idx="90">
                  <c:v>-259.564873534242</c:v>
                </c:pt>
                <c:pt idx="91">
                  <c:v>-244.192894157729</c:v>
                </c:pt>
                <c:pt idx="92">
                  <c:v>-228.658080843619</c:v>
                </c:pt>
                <c:pt idx="93">
                  <c:v>-212.965501593179</c:v>
                </c:pt>
                <c:pt idx="94">
                  <c:v>-197.120064533861</c:v>
                </c:pt>
                <c:pt idx="95">
                  <c:v>-181.12652300308</c:v>
                </c:pt>
                <c:pt idx="96">
                  <c:v>-164.989480473408</c:v>
                </c:pt>
                <c:pt idx="97">
                  <c:v>-148.713395323565</c:v>
                </c:pt>
                <c:pt idx="98">
                  <c:v>-132.302585459548</c:v>
                </c:pt>
                <c:pt idx="99">
                  <c:v>-115.76123279016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Vergleich!D3</c:f>
              <c:strCache>
                <c:ptCount val="1"/>
                <c:pt idx="0">
                  <c:v>Kontostand: Gemischt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Vergleich!$A$4:$A$103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Vergleich!$D$4:$D$103</c:f>
              <c:numCache>
                <c:formatCode>General</c:formatCode>
                <c:ptCount val="100"/>
                <c:pt idx="0">
                  <c:v>453.40385</c:v>
                </c:pt>
                <c:pt idx="1">
                  <c:v>410.082929525</c:v>
                </c:pt>
                <c:pt idx="2">
                  <c:v>371.251442072288</c:v>
                </c:pt>
                <c:pt idx="3">
                  <c:v>338.455819280494</c:v>
                </c:pt>
                <c:pt idx="4">
                  <c:v>313.169232695115</c:v>
                </c:pt>
                <c:pt idx="5">
                  <c:v>295.958748921117</c:v>
                </c:pt>
                <c:pt idx="6">
                  <c:v>289.044004341781</c:v>
                </c:pt>
                <c:pt idx="7">
                  <c:v>292.253242628378</c:v>
                </c:pt>
                <c:pt idx="8">
                  <c:v>307.792661974435</c:v>
                </c:pt>
                <c:pt idx="9">
                  <c:v>334.989278003374</c:v>
                </c:pt>
                <c:pt idx="10">
                  <c:v>376.06141369493</c:v>
                </c:pt>
                <c:pt idx="11">
                  <c:v>429.885070356745</c:v>
                </c:pt>
                <c:pt idx="12">
                  <c:v>498.713783176444</c:v>
                </c:pt>
                <c:pt idx="13">
                  <c:v>581.018814223849</c:v>
                </c:pt>
                <c:pt idx="14">
                  <c:v>679.109013438676</c:v>
                </c:pt>
                <c:pt idx="15">
                  <c:v>791.092959854499</c:v>
                </c:pt>
                <c:pt idx="16">
                  <c:v>919.351780953381</c:v>
                </c:pt>
                <c:pt idx="17">
                  <c:v>1061.66921331241</c:v>
                </c:pt>
                <c:pt idx="18">
                  <c:v>1220.51255182283</c:v>
                </c:pt>
                <c:pt idx="19">
                  <c:v>1393.37449204659</c:v>
                </c:pt>
                <c:pt idx="20">
                  <c:v>1582.81951120843</c:v>
                </c:pt>
                <c:pt idx="21">
                  <c:v>1786.079301075</c:v>
                </c:pt>
                <c:pt idx="22">
                  <c:v>2005.82392941906</c:v>
                </c:pt>
                <c:pt idx="23">
                  <c:v>2239.0506806351</c:v>
                </c:pt>
                <c:pt idx="24">
                  <c:v>2487.12464943126</c:v>
                </c:pt>
                <c:pt idx="25">
                  <c:v>2747.50430533208</c:v>
                </c:pt>
                <c:pt idx="26">
                  <c:v>3021.26259093255</c:v>
                </c:pt>
                <c:pt idx="27">
                  <c:v>3306.04341887577</c:v>
                </c:pt>
                <c:pt idx="28">
                  <c:v>3603.13455409746</c:v>
                </c:pt>
                <c:pt idx="29">
                  <c:v>3910.16594936442</c:v>
                </c:pt>
                <c:pt idx="30">
                  <c:v>4228.60874166142</c:v>
                </c:pt>
                <c:pt idx="31">
                  <c:v>4556.06380775996</c:v>
                </c:pt>
                <c:pt idx="32">
                  <c:v>4894.1612694303</c:v>
                </c:pt>
                <c:pt idx="33">
                  <c:v>5240.4631283608</c:v>
                </c:pt>
                <c:pt idx="34">
                  <c:v>5596.73930524903</c:v>
                </c:pt>
                <c:pt idx="35">
                  <c:v>5960.50690283897</c:v>
                </c:pt>
                <c:pt idx="36">
                  <c:v>6333.660305467</c:v>
                </c:pt>
                <c:pt idx="37">
                  <c:v>6713.66835826418</c:v>
                </c:pt>
                <c:pt idx="38">
                  <c:v>7102.53744303798</c:v>
                </c:pt>
                <c:pt idx="39">
                  <c:v>7497.68665551977</c:v>
                </c:pt>
                <c:pt idx="40">
                  <c:v>7901.22406369763</c:v>
                </c:pt>
                <c:pt idx="41">
                  <c:v>8310.5188156888</c:v>
                </c:pt>
                <c:pt idx="42">
                  <c:v>8727.77198836535</c:v>
                </c:pt>
                <c:pt idx="43">
                  <c:v>9150.30346663754</c:v>
                </c:pt>
                <c:pt idx="44">
                  <c:v>9580.39991206405</c:v>
                </c:pt>
                <c:pt idx="45">
                  <c:v>10015.3332195372</c:v>
                </c:pt>
                <c:pt idx="46">
                  <c:v>10457.4691847209</c:v>
                </c:pt>
                <c:pt idx="47">
                  <c:v>10904.0333650519</c:v>
                </c:pt>
                <c:pt idx="48">
                  <c:v>11357.4650073734</c:v>
                </c:pt>
                <c:pt idx="49">
                  <c:v>11814.945215025</c:v>
                </c:pt>
                <c:pt idx="50">
                  <c:v>12278.9816181566</c:v>
                </c:pt>
                <c:pt idx="51">
                  <c:v>12746.7128753767</c:v>
                </c:pt>
                <c:pt idx="52">
                  <c:v>13220.7104334978</c:v>
                </c:pt>
                <c:pt idx="53">
                  <c:v>13698.0725684686</c:v>
                </c:pt>
                <c:pt idx="54">
                  <c:v>14181.4303927493</c:v>
                </c:pt>
                <c:pt idx="55">
                  <c:v>14667.8438637112</c:v>
                </c:pt>
                <c:pt idx="56">
                  <c:v>15159.9999590696</c:v>
                </c:pt>
                <c:pt idx="57">
                  <c:v>15654.9223492164</c:v>
                </c:pt>
                <c:pt idx="58">
                  <c:v>16155.35037741</c:v>
                </c:pt>
                <c:pt idx="59">
                  <c:v>16658.2734032595</c:v>
                </c:pt>
                <c:pt idx="60">
                  <c:v>17166.4798976532</c:v>
                </c:pt>
                <c:pt idx="61">
                  <c:v>17676.9268155412</c:v>
                </c:pt>
                <c:pt idx="62">
                  <c:v>18192.4487486026</c:v>
                </c:pt>
                <c:pt idx="63">
                  <c:v>18709.9720743569</c:v>
                </c:pt>
                <c:pt idx="64">
                  <c:v>19232.3747048308</c:v>
                </c:pt>
                <c:pt idx="65">
                  <c:v>19756.554183741</c:v>
                </c:pt>
                <c:pt idx="66">
                  <c:v>20285.4291292556</c:v>
                </c:pt>
                <c:pt idx="67">
                  <c:v>20815.8699094887</c:v>
                </c:pt>
                <c:pt idx="68">
                  <c:v>21350.8334040209</c:v>
                </c:pt>
                <c:pt idx="69">
                  <c:v>21887.1643782951</c:v>
                </c:pt>
                <c:pt idx="70">
                  <c:v>22427.8556838804</c:v>
                </c:pt>
                <c:pt idx="71">
                  <c:v>22969.727972718</c:v>
                </c:pt>
                <c:pt idx="72">
                  <c:v>23515.8079220647</c:v>
                </c:pt>
                <c:pt idx="73">
                  <c:v>24062.8934781653</c:v>
                </c:pt>
                <c:pt idx="74">
                  <c:v>24614.0431301589</c:v>
                </c:pt>
                <c:pt idx="75">
                  <c:v>25166.0334479992</c:v>
                </c:pt>
                <c:pt idx="76">
                  <c:v>25721.9528419996</c:v>
                </c:pt>
                <c:pt idx="77">
                  <c:v>26278.5577601291</c:v>
                </c:pt>
                <c:pt idx="78">
                  <c:v>26838.9647578565</c:v>
                </c:pt>
                <c:pt idx="79">
                  <c:v>27399.9113438503</c:v>
                </c:pt>
                <c:pt idx="80">
                  <c:v>27964.5405498089</c:v>
                </c:pt>
                <c:pt idx="81">
                  <c:v>28529.5720596976</c:v>
                </c:pt>
                <c:pt idx="82">
                  <c:v>29098.1738126923</c:v>
                </c:pt>
                <c:pt idx="83">
                  <c:v>29667.0487180886</c:v>
                </c:pt>
                <c:pt idx="84">
                  <c:v>30239.3881476119</c:v>
                </c:pt>
                <c:pt idx="85">
                  <c:v>30811.8792248104</c:v>
                </c:pt>
                <c:pt idx="86">
                  <c:v>31387.7353670033</c:v>
                </c:pt>
                <c:pt idx="87">
                  <c:v>31963.6288431506</c:v>
                </c:pt>
                <c:pt idx="88">
                  <c:v>32542.7938117595</c:v>
                </c:pt>
                <c:pt idx="89">
                  <c:v>33121.8885638231</c:v>
                </c:pt>
                <c:pt idx="90">
                  <c:v>33704.1667721403</c:v>
                </c:pt>
                <c:pt idx="91">
                  <c:v>34286.2735749071</c:v>
                </c:pt>
                <c:pt idx="92">
                  <c:v>34871.4810051304</c:v>
                </c:pt>
                <c:pt idx="93">
                  <c:v>35456.4218248687</c:v>
                </c:pt>
                <c:pt idx="94">
                  <c:v>36044.3853416786</c:v>
                </c:pt>
                <c:pt idx="95">
                  <c:v>36631.9926724262</c:v>
                </c:pt>
                <c:pt idx="96">
                  <c:v>37222.54937788</c:v>
                </c:pt>
                <c:pt idx="97">
                  <c:v>37812.6656175948</c:v>
                </c:pt>
                <c:pt idx="98">
                  <c:v>38405.6622446885</c:v>
                </c:pt>
                <c:pt idx="99">
                  <c:v>38998.1391087285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096897"/>
        <c:axId val="34797948"/>
      </c:lineChart>
      <c:catAx>
        <c:axId val="360968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97948"/>
        <c:crosses val="autoZero"/>
        <c:auto val="1"/>
        <c:lblAlgn val="ctr"/>
        <c:lblOffset val="100"/>
        <c:noMultiLvlLbl val="0"/>
      </c:catAx>
      <c:valAx>
        <c:axId val="34797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Kontostand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96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19</xdr:col>
      <xdr:colOff>78840</xdr:colOff>
      <xdr:row>24</xdr:row>
      <xdr:rowOff>113760</xdr:rowOff>
    </xdr:to>
    <xdr:graphicFrame>
      <xdr:nvGraphicFramePr>
        <xdr:cNvPr id="0" name="Chart 1"/>
        <xdr:cNvGraphicFramePr/>
      </xdr:nvGraphicFramePr>
      <xdr:xfrm>
        <a:off x="568656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0" t="s">
        <v>2</v>
      </c>
      <c r="B5" s="3" t="n">
        <v>500</v>
      </c>
      <c r="C5" s="4" t="s">
        <v>3</v>
      </c>
    </row>
    <row r="6" customFormat="false" ht="15" hidden="false" customHeight="false" outlineLevel="0" collapsed="false">
      <c r="A6" s="0" t="s">
        <v>4</v>
      </c>
      <c r="B6" s="3" t="n">
        <v>100</v>
      </c>
      <c r="C6" s="4" t="s">
        <v>5</v>
      </c>
    </row>
    <row r="7" customFormat="false" ht="15" hidden="false" customHeight="false" outlineLevel="0" collapsed="false">
      <c r="A7" s="0" t="s">
        <v>6</v>
      </c>
      <c r="B7" s="3" t="n">
        <v>50</v>
      </c>
      <c r="C7" s="4" t="s">
        <v>7</v>
      </c>
    </row>
    <row r="8" customFormat="false" ht="15" hidden="false" customHeight="false" outlineLevel="0" collapsed="false">
      <c r="A8" s="0" t="s">
        <v>8</v>
      </c>
      <c r="B8" s="3" t="n">
        <v>20</v>
      </c>
      <c r="C8" s="4" t="s">
        <v>9</v>
      </c>
    </row>
    <row r="9" customFormat="false" ht="15" hidden="false" customHeight="false" outlineLevel="0" collapsed="false">
      <c r="A9" s="0" t="s">
        <v>10</v>
      </c>
      <c r="B9" s="3" t="n">
        <v>2</v>
      </c>
      <c r="C9" s="4" t="s">
        <v>11</v>
      </c>
    </row>
    <row r="10" customFormat="false" ht="15" hidden="false" customHeight="false" outlineLevel="0" collapsed="false">
      <c r="A10" s="0" t="s">
        <v>12</v>
      </c>
      <c r="B10" s="3" t="n">
        <v>0.05</v>
      </c>
      <c r="C10" s="4" t="s">
        <v>13</v>
      </c>
    </row>
    <row r="11" customFormat="false" ht="15" hidden="false" customHeight="false" outlineLevel="0" collapsed="false">
      <c r="A11" s="0" t="s">
        <v>14</v>
      </c>
      <c r="B11" s="3" t="n">
        <v>0.3</v>
      </c>
      <c r="C11" s="4" t="s">
        <v>15</v>
      </c>
    </row>
    <row r="12" customFormat="false" ht="15" hidden="false" customHeight="false" outlineLevel="0" collapsed="false">
      <c r="A12" s="0" t="s">
        <v>16</v>
      </c>
      <c r="B12" s="3" t="n">
        <v>0.15</v>
      </c>
      <c r="C12" s="4" t="s">
        <v>17</v>
      </c>
    </row>
    <row r="13" customFormat="false" ht="15" hidden="false" customHeight="false" outlineLevel="0" collapsed="false">
      <c r="A13" s="0" t="s">
        <v>18</v>
      </c>
      <c r="B13" s="3" t="n">
        <v>0.03</v>
      </c>
      <c r="C13" s="4" t="s">
        <v>19</v>
      </c>
    </row>
    <row r="14" customFormat="false" ht="15" hidden="false" customHeight="false" outlineLevel="0" collapsed="false">
      <c r="A14" s="0" t="s">
        <v>20</v>
      </c>
      <c r="B14" s="3" t="n">
        <v>0.05</v>
      </c>
      <c r="C14" s="4" t="s">
        <v>21</v>
      </c>
    </row>
    <row r="15" customFormat="false" ht="15" hidden="false" customHeight="false" outlineLevel="0" collapsed="false">
      <c r="A15" s="0" t="s">
        <v>22</v>
      </c>
      <c r="B15" s="3" t="n">
        <v>20</v>
      </c>
      <c r="C15" s="4" t="s">
        <v>23</v>
      </c>
    </row>
    <row r="16" customFormat="false" ht="15" hidden="false" customHeight="false" outlineLevel="0" collapsed="false">
      <c r="A16" s="0" t="s">
        <v>24</v>
      </c>
      <c r="B16" s="3" t="n">
        <v>0.15</v>
      </c>
      <c r="C16" s="4" t="s">
        <v>25</v>
      </c>
    </row>
    <row r="17" customFormat="false" ht="15" hidden="false" customHeight="false" outlineLevel="0" collapsed="false">
      <c r="A17" s="0" t="s">
        <v>26</v>
      </c>
      <c r="B17" s="3" t="n">
        <v>1.5</v>
      </c>
      <c r="C17" s="4" t="s">
        <v>27</v>
      </c>
    </row>
    <row r="18" customFormat="false" ht="15" hidden="false" customHeight="false" outlineLevel="0" collapsed="false">
      <c r="A18" s="0" t="s">
        <v>28</v>
      </c>
      <c r="B18" s="3" t="n">
        <v>8</v>
      </c>
      <c r="C18" s="4" t="s">
        <v>29</v>
      </c>
    </row>
    <row r="19" customFormat="false" ht="15" hidden="false" customHeight="false" outlineLevel="0" collapsed="false">
      <c r="A19" s="0" t="s">
        <v>30</v>
      </c>
      <c r="B19" s="3" t="n">
        <v>3</v>
      </c>
      <c r="C19" s="4" t="s">
        <v>31</v>
      </c>
    </row>
    <row r="20" customFormat="false" ht="15" hidden="false" customHeight="false" outlineLevel="0" collapsed="false">
      <c r="A20" s="0" t="s">
        <v>32</v>
      </c>
      <c r="B20" s="3" t="n">
        <v>3</v>
      </c>
      <c r="C20" s="4" t="s">
        <v>33</v>
      </c>
    </row>
    <row r="21" customFormat="false" ht="15" hidden="false" customHeight="false" outlineLevel="0" collapsed="false">
      <c r="A21" s="0" t="s">
        <v>34</v>
      </c>
      <c r="B21" s="3" t="n">
        <v>15</v>
      </c>
      <c r="C21" s="4" t="s">
        <v>35</v>
      </c>
    </row>
    <row r="22" customFormat="false" ht="15" hidden="false" customHeight="false" outlineLevel="0" collapsed="false">
      <c r="A22" s="0" t="s">
        <v>36</v>
      </c>
      <c r="B22" s="3" t="n">
        <v>0.01</v>
      </c>
      <c r="C22" s="4" t="s">
        <v>37</v>
      </c>
    </row>
    <row r="23" customFormat="false" ht="15" hidden="false" customHeight="false" outlineLevel="0" collapsed="false">
      <c r="A23" s="0" t="s">
        <v>38</v>
      </c>
      <c r="B23" s="3" t="n">
        <v>100</v>
      </c>
      <c r="C23" s="4" t="s">
        <v>39</v>
      </c>
    </row>
    <row r="24" customFormat="false" ht="15" hidden="false" customHeight="false" outlineLevel="0" collapsed="false">
      <c r="A24" s="0" t="s">
        <v>40</v>
      </c>
      <c r="B24" s="3" t="n">
        <v>5</v>
      </c>
      <c r="C24" s="4" t="s">
        <v>41</v>
      </c>
    </row>
    <row r="25" customFormat="false" ht="15" hidden="false" customHeight="false" outlineLevel="0" collapsed="false">
      <c r="A25" s="0" t="s">
        <v>42</v>
      </c>
      <c r="B25" s="3" t="n">
        <v>0.5</v>
      </c>
      <c r="C25" s="4" t="s">
        <v>43</v>
      </c>
    </row>
    <row r="26" customFormat="false" ht="15" hidden="false" customHeight="false" outlineLevel="0" collapsed="false">
      <c r="A26" s="0" t="s">
        <v>44</v>
      </c>
      <c r="B26" s="3" t="n">
        <v>1</v>
      </c>
      <c r="C26" s="4" t="s">
        <v>45</v>
      </c>
    </row>
    <row r="27" customFormat="false" ht="15" hidden="false" customHeight="false" outlineLevel="0" collapsed="false">
      <c r="A27" s="0" t="s">
        <v>46</v>
      </c>
      <c r="B27" s="3" t="n">
        <v>2.5</v>
      </c>
      <c r="C27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</row>
    <row r="2" customFormat="false" ht="15" hidden="false" customHeight="false" outlineLevel="0" collapsed="false">
      <c r="A2" s="0" t="n">
        <v>1</v>
      </c>
      <c r="B2" s="6" t="n">
        <v>5</v>
      </c>
      <c r="C2" s="7" t="n">
        <f aca="false">Annahmen!$B$6*(1-Annahmen!$B$13)+Annahmen!$B$15*(1+(B2-3)/2*Annahmen!$B$16)*(1+Annahmen!$B$25*(L2-Annahmen!$B$26))</f>
        <v>108.5</v>
      </c>
      <c r="D2" s="7" t="n">
        <f aca="false">MIN(100,MAX(0,Annahmen!$B$7-Annahmen!$B$17*(B2-3)-Annahmen!$B$14*(Annahmen!$B$7-50)+Annahmen!$B$27*(L2-Annahmen!$B$26)))</f>
        <v>44.5</v>
      </c>
      <c r="E2" s="7" t="n">
        <f aca="false">Annahmen!$B$8+Annahmen!$B$12*(C2*Annahmen!$B$11*(D2/100)-Annahmen!$B$8)</f>
        <v>19.1727125</v>
      </c>
      <c r="F2" s="7" t="n">
        <f aca="false">C2*Annahmen!$B$10*(D2/100)</f>
        <v>2.414125</v>
      </c>
      <c r="G2" s="7" t="n">
        <f aca="false">E2*Annahmen!$B$9</f>
        <v>38.345425</v>
      </c>
      <c r="H2" s="7" t="n">
        <f aca="false">Annahmen!$B$18*Annahmen!$B$20*Annahmen!$B$19+Annahmen!$B$21+C2*Annahmen!$B$22</f>
        <v>88.085</v>
      </c>
      <c r="I2" s="7" t="n">
        <f aca="false">F2+G2-H2</f>
        <v>-47.32545</v>
      </c>
      <c r="J2" s="7" t="n">
        <f aca="false">Annahmen!$B$5+I2</f>
        <v>452.67455</v>
      </c>
      <c r="K2" s="0" t="n">
        <v>0</v>
      </c>
      <c r="L2" s="0" t="n">
        <v>0</v>
      </c>
    </row>
    <row r="3" customFormat="false" ht="15" hidden="false" customHeight="false" outlineLevel="0" collapsed="false">
      <c r="A3" s="0" t="n">
        <v>2</v>
      </c>
      <c r="B3" s="6" t="n">
        <v>5</v>
      </c>
      <c r="C3" s="7" t="n">
        <f aca="false">C2*(1-Annahmen!$B$13)+Annahmen!$B$15*(1+(B3-3)/2*Annahmen!$B$16)*(1+Annahmen!$B$25*(L3-Annahmen!$B$26))</f>
        <v>116.745</v>
      </c>
      <c r="D3" s="7" t="n">
        <f aca="false">MIN(100,MAX(0,D2-Annahmen!$B$17*(B3-3)-Annahmen!$B$14*(D2-50)+Annahmen!$B$27*(L3-Annahmen!$B$26)))</f>
        <v>39.275</v>
      </c>
      <c r="E3" s="7" t="n">
        <f aca="false">E2+Annahmen!$B$12*(C3*Annahmen!$B$11*(D3/100)-E2)</f>
        <v>18.36012756875</v>
      </c>
      <c r="F3" s="7" t="n">
        <f aca="false">C3*Annahmen!$B$10*(D3/100)</f>
        <v>2.2925799375</v>
      </c>
      <c r="G3" s="7" t="n">
        <f aca="false">E3*Annahmen!$B$9</f>
        <v>36.7202551375</v>
      </c>
      <c r="H3" s="7" t="n">
        <f aca="false">Annahmen!$B$18*Annahmen!$B$20*Annahmen!$B$19+Annahmen!$B$21+C3*Annahmen!$B$22</f>
        <v>88.16745</v>
      </c>
      <c r="I3" s="7" t="n">
        <f aca="false">F3+G3-H3</f>
        <v>-49.154614925</v>
      </c>
      <c r="J3" s="7" t="n">
        <f aca="false">J2+I3</f>
        <v>403.519935075</v>
      </c>
      <c r="K3" s="7" t="n">
        <f aca="false">AVERAGE(B2:B2)</f>
        <v>5</v>
      </c>
      <c r="L3" s="7" t="n">
        <f aca="false">ABS(B3-K3)</f>
        <v>0</v>
      </c>
    </row>
    <row r="4" customFormat="false" ht="15" hidden="false" customHeight="false" outlineLevel="0" collapsed="false">
      <c r="A4" s="0" t="n">
        <v>3</v>
      </c>
      <c r="B4" s="6" t="n">
        <v>5</v>
      </c>
      <c r="C4" s="7" t="n">
        <f aca="false">C3*(1-Annahmen!$B$13)+Annahmen!$B$15*(1+(B4-3)/2*Annahmen!$B$16)*(1+Annahmen!$B$25*(L4-Annahmen!$B$26))</f>
        <v>124.74265</v>
      </c>
      <c r="D4" s="7" t="n">
        <f aca="false">MIN(100,MAX(0,D3-Annahmen!$B$17*(B4-3)-Annahmen!$B$14*(D3-50)+Annahmen!$B$27*(L4-Annahmen!$B$26)))</f>
        <v>34.31125</v>
      </c>
      <c r="E4" s="7" t="n">
        <f aca="false">E3+Annahmen!$B$12*(C4*Annahmen!$B$11*(D4/100)-E3)</f>
        <v>17.5321427458531</v>
      </c>
      <c r="F4" s="7" t="n">
        <f aca="false">C4*Annahmen!$B$10*(D4/100)</f>
        <v>2.14003812490625</v>
      </c>
      <c r="G4" s="7" t="n">
        <f aca="false">E4*Annahmen!$B$9</f>
        <v>35.0642854917062</v>
      </c>
      <c r="H4" s="7" t="n">
        <f aca="false">Annahmen!$B$18*Annahmen!$B$20*Annahmen!$B$19+Annahmen!$B$21+C4*Annahmen!$B$22</f>
        <v>88.2474265</v>
      </c>
      <c r="I4" s="7" t="n">
        <f aca="false">F4+G4-H4</f>
        <v>-51.0431028833875</v>
      </c>
      <c r="J4" s="7" t="n">
        <f aca="false">J3+I4</f>
        <v>352.476832191613</v>
      </c>
      <c r="K4" s="7" t="n">
        <f aca="false">AVERAGE(B2:B3)</f>
        <v>5</v>
      </c>
      <c r="L4" s="7" t="n">
        <f aca="false">ABS(B4-K4)</f>
        <v>0</v>
      </c>
    </row>
    <row r="5" customFormat="false" ht="15" hidden="false" customHeight="false" outlineLevel="0" collapsed="false">
      <c r="A5" s="0" t="n">
        <v>4</v>
      </c>
      <c r="B5" s="6" t="n">
        <v>5</v>
      </c>
      <c r="C5" s="7" t="n">
        <f aca="false">C4*(1-Annahmen!$B$13)+Annahmen!$B$15*(1+(B5-3)/2*Annahmen!$B$16)*(1+Annahmen!$B$25*(L5-Annahmen!$B$26))</f>
        <v>132.5003705</v>
      </c>
      <c r="D5" s="7" t="n">
        <f aca="false">MIN(100,MAX(0,D4-Annahmen!$B$17*(B5-3)-Annahmen!$B$14*(D4-50)+Annahmen!$B$27*(L5-Annahmen!$B$26)))</f>
        <v>29.5956875</v>
      </c>
      <c r="E5" s="7" t="n">
        <f aca="false">E4+Annahmen!$B$12*(C5*Annahmen!$B$11*(D5/100)-E4)</f>
        <v>16.6669691355037</v>
      </c>
      <c r="F5" s="7" t="n">
        <f aca="false">C5*Annahmen!$B$10*(D5/100)</f>
        <v>1.96071977947611</v>
      </c>
      <c r="G5" s="7" t="n">
        <f aca="false">E5*Annahmen!$B$9</f>
        <v>33.3339382710073</v>
      </c>
      <c r="H5" s="7" t="n">
        <f aca="false">Annahmen!$B$18*Annahmen!$B$20*Annahmen!$B$19+Annahmen!$B$21+C5*Annahmen!$B$22</f>
        <v>88.325003705</v>
      </c>
      <c r="I5" s="7" t="n">
        <f aca="false">F5+G5-H5</f>
        <v>-53.0303456545166</v>
      </c>
      <c r="J5" s="7" t="n">
        <f aca="false">J4+I5</f>
        <v>299.446486537096</v>
      </c>
      <c r="K5" s="7" t="n">
        <f aca="false">AVERAGE(B2:B4)</f>
        <v>5</v>
      </c>
      <c r="L5" s="7" t="n">
        <f aca="false">ABS(B5-K5)</f>
        <v>0</v>
      </c>
    </row>
    <row r="6" customFormat="false" ht="15" hidden="false" customHeight="false" outlineLevel="0" collapsed="false">
      <c r="A6" s="0" t="n">
        <v>5</v>
      </c>
      <c r="B6" s="6" t="n">
        <v>5</v>
      </c>
      <c r="C6" s="7" t="n">
        <f aca="false">C5*(1-Annahmen!$B$13)+Annahmen!$B$15*(1+(B6-3)/2*Annahmen!$B$16)*(1+Annahmen!$B$25*(L6-Annahmen!$B$26))</f>
        <v>140.025359385</v>
      </c>
      <c r="D6" s="7" t="n">
        <f aca="false">MIN(100,MAX(0,D5-Annahmen!$B$17*(B6-3)-Annahmen!$B$14*(D5-50)+Annahmen!$B$27*(L6-Annahmen!$B$26)))</f>
        <v>25.115903125</v>
      </c>
      <c r="E6" s="7" t="n">
        <f aca="false">E5+Annahmen!$B$12*(C6*Annahmen!$B$11*(D6/100)-E5)</f>
        <v>15.7495122777887</v>
      </c>
      <c r="F6" s="7" t="n">
        <f aca="false">C6*Annahmen!$B$10*(D6/100)</f>
        <v>1.75843168067848</v>
      </c>
      <c r="G6" s="7" t="n">
        <f aca="false">E6*Annahmen!$B$9</f>
        <v>31.4990245555775</v>
      </c>
      <c r="H6" s="7" t="n">
        <f aca="false">Annahmen!$B$18*Annahmen!$B$20*Annahmen!$B$19+Annahmen!$B$21+C6*Annahmen!$B$22</f>
        <v>88.40025359385</v>
      </c>
      <c r="I6" s="7" t="n">
        <f aca="false">F6+G6-H6</f>
        <v>-55.142797357594</v>
      </c>
      <c r="J6" s="7" t="n">
        <f aca="false">J5+I6</f>
        <v>244.303689179502</v>
      </c>
      <c r="K6" s="7" t="n">
        <f aca="false">AVERAGE(B2:B5)</f>
        <v>5</v>
      </c>
      <c r="L6" s="7" t="n">
        <f aca="false">ABS(B6-K6)</f>
        <v>0</v>
      </c>
    </row>
    <row r="7" customFormat="false" ht="15" hidden="false" customHeight="false" outlineLevel="0" collapsed="false">
      <c r="A7" s="0" t="n">
        <v>6</v>
      </c>
      <c r="B7" s="6" t="n">
        <v>5</v>
      </c>
      <c r="C7" s="7" t="n">
        <f aca="false">C6*(1-Annahmen!$B$13)+Annahmen!$B$15*(1+(B7-3)/2*Annahmen!$B$16)*(1+Annahmen!$B$25*(L7-Annahmen!$B$26))</f>
        <v>147.32459860345</v>
      </c>
      <c r="D7" s="7" t="n">
        <f aca="false">MIN(100,MAX(0,D6-Annahmen!$B$17*(B7-3)-Annahmen!$B$14*(D6-50)+Annahmen!$B$27*(L7-Annahmen!$B$26)))</f>
        <v>20.86010796875</v>
      </c>
      <c r="E7" s="7" t="n">
        <f aca="false">E6+Annahmen!$B$12*(C7*Annahmen!$B$11*(D7/100)-E6)</f>
        <v>14.7700286011148</v>
      </c>
      <c r="F7" s="7" t="n">
        <f aca="false">C7*Annahmen!$B$10*(D7/100)</f>
        <v>1.53660351666036</v>
      </c>
      <c r="G7" s="7" t="n">
        <f aca="false">E7*Annahmen!$B$9</f>
        <v>29.5400572022295</v>
      </c>
      <c r="H7" s="7" t="n">
        <f aca="false">Annahmen!$B$18*Annahmen!$B$20*Annahmen!$B$19+Annahmen!$B$21+C7*Annahmen!$B$22</f>
        <v>88.4732459860345</v>
      </c>
      <c r="I7" s="7" t="n">
        <f aca="false">F7+G7-H7</f>
        <v>-57.3965852671446</v>
      </c>
      <c r="J7" s="7" t="n">
        <f aca="false">J6+I7</f>
        <v>186.907103912357</v>
      </c>
      <c r="K7" s="7" t="n">
        <f aca="false">AVERAGE(B2:B6)</f>
        <v>5</v>
      </c>
      <c r="L7" s="7" t="n">
        <f aca="false">ABS(B7-K7)</f>
        <v>0</v>
      </c>
    </row>
    <row r="8" customFormat="false" ht="15" hidden="false" customHeight="false" outlineLevel="0" collapsed="false">
      <c r="A8" s="0" t="n">
        <v>7</v>
      </c>
      <c r="B8" s="6" t="n">
        <v>5</v>
      </c>
      <c r="C8" s="7" t="n">
        <f aca="false">C7*(1-Annahmen!$B$13)+Annahmen!$B$15*(1+(B8-3)/2*Annahmen!$B$16)*(1+Annahmen!$B$25*(L8-Annahmen!$B$26))</f>
        <v>154.404860645346</v>
      </c>
      <c r="D8" s="7" t="n">
        <f aca="false">MIN(100,MAX(0,D7-Annahmen!$B$17*(B8-3)-Annahmen!$B$14*(D7-50)+Annahmen!$B$27*(L8-Annahmen!$B$26)))</f>
        <v>16.8171025703125</v>
      </c>
      <c r="E8" s="7" t="n">
        <f aca="false">E7+Annahmen!$B$12*(C8*Annahmen!$B$11*(D8/100)-E7)</f>
        <v>13.72301338142</v>
      </c>
      <c r="F8" s="7" t="n">
        <f aca="false">C8*Annahmen!$B$10*(D8/100)</f>
        <v>1.2983211894138</v>
      </c>
      <c r="G8" s="7" t="n">
        <f aca="false">E8*Annahmen!$B$9</f>
        <v>27.4460267628399</v>
      </c>
      <c r="H8" s="7" t="n">
        <f aca="false">Annahmen!$B$18*Annahmen!$B$20*Annahmen!$B$19+Annahmen!$B$21+C8*Annahmen!$B$22</f>
        <v>88.5440486064535</v>
      </c>
      <c r="I8" s="7" t="n">
        <f aca="false">F8+G8-H8</f>
        <v>-59.7997006541997</v>
      </c>
      <c r="J8" s="7" t="n">
        <f aca="false">J7+I8</f>
        <v>127.107403258158</v>
      </c>
      <c r="K8" s="7" t="n">
        <f aca="false">AVERAGE(B3:B7)</f>
        <v>5</v>
      </c>
      <c r="L8" s="7" t="n">
        <f aca="false">ABS(B8-K8)</f>
        <v>0</v>
      </c>
    </row>
    <row r="9" customFormat="false" ht="15" hidden="false" customHeight="false" outlineLevel="0" collapsed="false">
      <c r="A9" s="0" t="n">
        <v>8</v>
      </c>
      <c r="B9" s="6" t="n">
        <v>5</v>
      </c>
      <c r="C9" s="7" t="n">
        <f aca="false">C8*(1-Annahmen!$B$13)+Annahmen!$B$15*(1+(B9-3)/2*Annahmen!$B$16)*(1+Annahmen!$B$25*(L9-Annahmen!$B$26))</f>
        <v>161.272714825986</v>
      </c>
      <c r="D9" s="7" t="n">
        <f aca="false">MIN(100,MAX(0,D8-Annahmen!$B$17*(B9-3)-Annahmen!$B$14*(D8-50)+Annahmen!$B$27*(L9-Annahmen!$B$26)))</f>
        <v>12.9762474417969</v>
      </c>
      <c r="E9" s="7" t="n">
        <f aca="false">E8+Annahmen!$B$12*(C9*Annahmen!$B$11*(D9/100)-E8)</f>
        <v>12.6062829681435</v>
      </c>
      <c r="F9" s="7" t="n">
        <f aca="false">C9*Annahmen!$B$10*(D9/100)</f>
        <v>1.04635732659617</v>
      </c>
      <c r="G9" s="7" t="n">
        <f aca="false">E9*Annahmen!$B$9</f>
        <v>25.212565936287</v>
      </c>
      <c r="H9" s="7" t="n">
        <f aca="false">Annahmen!$B$18*Annahmen!$B$20*Annahmen!$B$19+Annahmen!$B$21+C9*Annahmen!$B$22</f>
        <v>88.6127271482599</v>
      </c>
      <c r="I9" s="7" t="n">
        <f aca="false">F9+G9-H9</f>
        <v>-62.3538038853767</v>
      </c>
      <c r="J9" s="7" t="n">
        <f aca="false">J8+I9</f>
        <v>64.7535993727809</v>
      </c>
      <c r="K9" s="7" t="n">
        <f aca="false">AVERAGE(B4:B8)</f>
        <v>5</v>
      </c>
      <c r="L9" s="7" t="n">
        <f aca="false">ABS(B9-K9)</f>
        <v>0</v>
      </c>
    </row>
    <row r="10" customFormat="false" ht="15" hidden="false" customHeight="false" outlineLevel="0" collapsed="false">
      <c r="A10" s="0" t="n">
        <v>9</v>
      </c>
      <c r="B10" s="6" t="n">
        <v>5</v>
      </c>
      <c r="C10" s="7" t="n">
        <f aca="false">C9*(1-Annahmen!$B$13)+Annahmen!$B$15*(1+(B10-3)/2*Annahmen!$B$16)*(1+Annahmen!$B$25*(L10-Annahmen!$B$26))</f>
        <v>167.934533381206</v>
      </c>
      <c r="D10" s="7" t="n">
        <f aca="false">MIN(100,MAX(0,D9-Annahmen!$B$17*(B10-3)-Annahmen!$B$14*(D9-50)+Annahmen!$B$27*(L10-Annahmen!$B$26)))</f>
        <v>9.32743506970704</v>
      </c>
      <c r="E10" s="7" t="n">
        <f aca="false">E9+Annahmen!$B$12*(C10*Annahmen!$B$11*(D10/100)-E9)</f>
        <v>11.4202198281556</v>
      </c>
      <c r="F10" s="7" t="n">
        <f aca="false">C10*Annahmen!$B$10*(D10/100)</f>
        <v>0.783199228037376</v>
      </c>
      <c r="G10" s="7" t="n">
        <f aca="false">E10*Annahmen!$B$9</f>
        <v>22.8404396563113</v>
      </c>
      <c r="H10" s="7" t="n">
        <f aca="false">Annahmen!$B$18*Annahmen!$B$20*Annahmen!$B$19+Annahmen!$B$21+C10*Annahmen!$B$22</f>
        <v>88.6793453338121</v>
      </c>
      <c r="I10" s="7" t="n">
        <f aca="false">F10+G10-H10</f>
        <v>-65.0557064494634</v>
      </c>
      <c r="J10" s="7" t="n">
        <f aca="false">J9+I10</f>
        <v>-0.302107076682546</v>
      </c>
      <c r="K10" s="7" t="n">
        <f aca="false">AVERAGE(B5:B9)</f>
        <v>5</v>
      </c>
      <c r="L10" s="7" t="n">
        <f aca="false">ABS(B10-K10)</f>
        <v>0</v>
      </c>
    </row>
    <row r="11" customFormat="false" ht="15" hidden="false" customHeight="false" outlineLevel="0" collapsed="false">
      <c r="A11" s="0" t="n">
        <v>10</v>
      </c>
      <c r="B11" s="6" t="n">
        <v>5</v>
      </c>
      <c r="C11" s="7" t="n">
        <f aca="false">C10*(1-Annahmen!$B$13)+Annahmen!$B$15*(1+(B11-3)/2*Annahmen!$B$16)*(1+Annahmen!$B$25*(L11-Annahmen!$B$26))</f>
        <v>174.39649737977</v>
      </c>
      <c r="D11" s="7" t="n">
        <f aca="false">MIN(100,MAX(0,D10-Annahmen!$B$17*(B11-3)-Annahmen!$B$14*(D10-50)+Annahmen!$B$27*(L11-Annahmen!$B$26)))</f>
        <v>5.86106331622169</v>
      </c>
      <c r="E11" s="7" t="n">
        <f aca="false">E10+Annahmen!$B$12*(C11*Annahmen!$B$11*(D11/100)-E10)</f>
        <v>10.1671538649038</v>
      </c>
      <c r="F11" s="7" t="n">
        <f aca="false">C11*Annahmen!$B$10*(D11/100)</f>
        <v>0.511074456635061</v>
      </c>
      <c r="G11" s="7" t="n">
        <f aca="false">E11*Annahmen!$B$9</f>
        <v>20.3343077298077</v>
      </c>
      <c r="H11" s="7" t="n">
        <f aca="false">Annahmen!$B$18*Annahmen!$B$20*Annahmen!$B$19+Annahmen!$B$21+C11*Annahmen!$B$22</f>
        <v>88.7439649737977</v>
      </c>
      <c r="I11" s="7" t="n">
        <f aca="false">F11+G11-H11</f>
        <v>-67.898582787355</v>
      </c>
      <c r="J11" s="7" t="n">
        <f aca="false">J10+I11</f>
        <v>-68.2006898640375</v>
      </c>
      <c r="K11" s="7" t="n">
        <f aca="false">AVERAGE(B6:B10)</f>
        <v>5</v>
      </c>
      <c r="L11" s="7" t="n">
        <f aca="false">ABS(B11-K11)</f>
        <v>0</v>
      </c>
    </row>
    <row r="12" customFormat="false" ht="15" hidden="false" customHeight="false" outlineLevel="0" collapsed="false">
      <c r="A12" s="0" t="n">
        <v>11</v>
      </c>
      <c r="B12" s="6" t="n">
        <v>5</v>
      </c>
      <c r="C12" s="7" t="n">
        <f aca="false">C11*(1-Annahmen!$B$13)+Annahmen!$B$15*(1+(B12-3)/2*Annahmen!$B$16)*(1+Annahmen!$B$25*(L12-Annahmen!$B$26))</f>
        <v>180.664602458377</v>
      </c>
      <c r="D12" s="7" t="n">
        <f aca="false">MIN(100,MAX(0,D11-Annahmen!$B$17*(B12-3)-Annahmen!$B$14*(D11-50)+Annahmen!$B$27*(L12-Annahmen!$B$26)))</f>
        <v>2.5680101504106</v>
      </c>
      <c r="E12" s="7" t="n">
        <f aca="false">E11+Annahmen!$B$12*(C12*Annahmen!$B$11*(D12/100)-E11)</f>
        <v>8.85085762498812</v>
      </c>
      <c r="F12" s="7" t="n">
        <f aca="false">C12*Annahmen!$B$10*(D12/100)</f>
        <v>0.231974266466504</v>
      </c>
      <c r="G12" s="7" t="n">
        <f aca="false">E12*Annahmen!$B$9</f>
        <v>17.7017152499762</v>
      </c>
      <c r="H12" s="7" t="n">
        <f aca="false">Annahmen!$B$18*Annahmen!$B$20*Annahmen!$B$19+Annahmen!$B$21+C12*Annahmen!$B$22</f>
        <v>88.8066460245838</v>
      </c>
      <c r="I12" s="7" t="n">
        <f aca="false">F12+G12-H12</f>
        <v>-70.872956508141</v>
      </c>
      <c r="J12" s="7" t="n">
        <f aca="false">J11+I12</f>
        <v>-139.073646372179</v>
      </c>
      <c r="K12" s="7" t="n">
        <f aca="false">AVERAGE(B7:B11)</f>
        <v>5</v>
      </c>
      <c r="L12" s="7" t="n">
        <f aca="false">ABS(B12-K12)</f>
        <v>0</v>
      </c>
    </row>
    <row r="13" customFormat="false" ht="15" hidden="false" customHeight="false" outlineLevel="0" collapsed="false">
      <c r="A13" s="0" t="n">
        <v>12</v>
      </c>
      <c r="B13" s="6" t="n">
        <v>5</v>
      </c>
      <c r="C13" s="7" t="n">
        <f aca="false">C12*(1-Annahmen!$B$13)+Annahmen!$B$15*(1+(B13-3)/2*Annahmen!$B$16)*(1+Annahmen!$B$25*(L13-Annahmen!$B$26))</f>
        <v>186.744664384626</v>
      </c>
      <c r="D13" s="7" t="n">
        <f aca="false">MIN(100,MAX(0,D12-Annahmen!$B$17*(B13-3)-Annahmen!$B$14*(D12-50)+Annahmen!$B$27*(L13-Annahmen!$B$26)))</f>
        <v>0</v>
      </c>
      <c r="E13" s="7" t="n">
        <f aca="false">E12+Annahmen!$B$12*(C13*Annahmen!$B$11*(D13/100)-E12)</f>
        <v>7.5232289812399</v>
      </c>
      <c r="F13" s="7" t="n">
        <f aca="false">C13*Annahmen!$B$10*(D13/100)</f>
        <v>0</v>
      </c>
      <c r="G13" s="7" t="n">
        <f aca="false">E13*Annahmen!$B$9</f>
        <v>15.0464579624798</v>
      </c>
      <c r="H13" s="7" t="n">
        <f aca="false">Annahmen!$B$18*Annahmen!$B$20*Annahmen!$B$19+Annahmen!$B$21+C13*Annahmen!$B$22</f>
        <v>88.8674466438463</v>
      </c>
      <c r="I13" s="7" t="n">
        <f aca="false">F13+G13-H13</f>
        <v>-73.8209886813665</v>
      </c>
      <c r="J13" s="7" t="n">
        <f aca="false">J12+I13</f>
        <v>-212.894635053545</v>
      </c>
      <c r="K13" s="7" t="n">
        <f aca="false">AVERAGE(B8:B12)</f>
        <v>5</v>
      </c>
      <c r="L13" s="7" t="n">
        <f aca="false">ABS(B13-K13)</f>
        <v>0</v>
      </c>
    </row>
    <row r="14" customFormat="false" ht="15" hidden="false" customHeight="false" outlineLevel="0" collapsed="false">
      <c r="A14" s="0" t="n">
        <v>13</v>
      </c>
      <c r="B14" s="6" t="n">
        <v>5</v>
      </c>
      <c r="C14" s="7" t="n">
        <f aca="false">C13*(1-Annahmen!$B$13)+Annahmen!$B$15*(1+(B14-3)/2*Annahmen!$B$16)*(1+Annahmen!$B$25*(L14-Annahmen!$B$26))</f>
        <v>192.642324453087</v>
      </c>
      <c r="D14" s="7" t="n">
        <f aca="false">MIN(100,MAX(0,D13-Annahmen!$B$17*(B14-3)-Annahmen!$B$14*(D13-50)+Annahmen!$B$27*(L14-Annahmen!$B$26)))</f>
        <v>0</v>
      </c>
      <c r="E14" s="7" t="n">
        <f aca="false">E13+Annahmen!$B$12*(C14*Annahmen!$B$11*(D14/100)-E13)</f>
        <v>6.39474463405392</v>
      </c>
      <c r="F14" s="7" t="n">
        <f aca="false">C14*Annahmen!$B$10*(D14/100)</f>
        <v>0</v>
      </c>
      <c r="G14" s="7" t="n">
        <f aca="false">E14*Annahmen!$B$9</f>
        <v>12.7894892681078</v>
      </c>
      <c r="H14" s="7" t="n">
        <f aca="false">Annahmen!$B$18*Annahmen!$B$20*Annahmen!$B$19+Annahmen!$B$21+C14*Annahmen!$B$22</f>
        <v>88.9264232445309</v>
      </c>
      <c r="I14" s="7" t="n">
        <f aca="false">F14+G14-H14</f>
        <v>-76.136933976423</v>
      </c>
      <c r="J14" s="7" t="n">
        <f aca="false">J13+I14</f>
        <v>-289.031569029968</v>
      </c>
      <c r="K14" s="7" t="n">
        <f aca="false">AVERAGE(B9:B13)</f>
        <v>5</v>
      </c>
      <c r="L14" s="7" t="n">
        <f aca="false">ABS(B14-K14)</f>
        <v>0</v>
      </c>
    </row>
    <row r="15" customFormat="false" ht="15" hidden="false" customHeight="false" outlineLevel="0" collapsed="false">
      <c r="A15" s="0" t="n">
        <v>14</v>
      </c>
      <c r="B15" s="6" t="n">
        <v>5</v>
      </c>
      <c r="C15" s="7" t="n">
        <f aca="false">C14*(1-Annahmen!$B$13)+Annahmen!$B$15*(1+(B15-3)/2*Annahmen!$B$16)*(1+Annahmen!$B$25*(L15-Annahmen!$B$26))</f>
        <v>198.363054719494</v>
      </c>
      <c r="D15" s="7" t="n">
        <f aca="false">MIN(100,MAX(0,D14-Annahmen!$B$17*(B15-3)-Annahmen!$B$14*(D14-50)+Annahmen!$B$27*(L15-Annahmen!$B$26)))</f>
        <v>0</v>
      </c>
      <c r="E15" s="7" t="n">
        <f aca="false">E14+Annahmen!$B$12*(C15*Annahmen!$B$11*(D15/100)-E14)</f>
        <v>5.43553293894583</v>
      </c>
      <c r="F15" s="7" t="n">
        <f aca="false">C15*Annahmen!$B$10*(D15/100)</f>
        <v>0</v>
      </c>
      <c r="G15" s="7" t="n">
        <f aca="false">E15*Annahmen!$B$9</f>
        <v>10.8710658778917</v>
      </c>
      <c r="H15" s="7" t="n">
        <f aca="false">Annahmen!$B$18*Annahmen!$B$20*Annahmen!$B$19+Annahmen!$B$21+C15*Annahmen!$B$22</f>
        <v>88.983630547195</v>
      </c>
      <c r="I15" s="7" t="n">
        <f aca="false">F15+G15-H15</f>
        <v>-78.1125646693033</v>
      </c>
      <c r="J15" s="7" t="n">
        <f aca="false">J14+I15</f>
        <v>-367.144133699271</v>
      </c>
      <c r="K15" s="7" t="n">
        <f aca="false">AVERAGE(B10:B14)</f>
        <v>5</v>
      </c>
      <c r="L15" s="7" t="n">
        <f aca="false">ABS(B15-K15)</f>
        <v>0</v>
      </c>
    </row>
    <row r="16" customFormat="false" ht="15" hidden="false" customHeight="false" outlineLevel="0" collapsed="false">
      <c r="A16" s="0" t="n">
        <v>15</v>
      </c>
      <c r="B16" s="6" t="n">
        <v>5</v>
      </c>
      <c r="C16" s="7" t="n">
        <f aca="false">C15*(1-Annahmen!$B$13)+Annahmen!$B$15*(1+(B16-3)/2*Annahmen!$B$16)*(1+Annahmen!$B$25*(L16-Annahmen!$B$26))</f>
        <v>203.91216307791</v>
      </c>
      <c r="D16" s="7" t="n">
        <f aca="false">MIN(100,MAX(0,D15-Annahmen!$B$17*(B16-3)-Annahmen!$B$14*(D15-50)+Annahmen!$B$27*(L16-Annahmen!$B$26)))</f>
        <v>0</v>
      </c>
      <c r="E16" s="7" t="n">
        <f aca="false">E15+Annahmen!$B$12*(C16*Annahmen!$B$11*(D16/100)-E15)</f>
        <v>4.62020299810396</v>
      </c>
      <c r="F16" s="7" t="n">
        <f aca="false">C16*Annahmen!$B$10*(D16/100)</f>
        <v>0</v>
      </c>
      <c r="G16" s="7" t="n">
        <f aca="false">E16*Annahmen!$B$9</f>
        <v>9.24040599620791</v>
      </c>
      <c r="H16" s="7" t="n">
        <f aca="false">Annahmen!$B$18*Annahmen!$B$20*Annahmen!$B$19+Annahmen!$B$21+C16*Annahmen!$B$22</f>
        <v>89.0391216307791</v>
      </c>
      <c r="I16" s="7" t="n">
        <f aca="false">F16+G16-H16</f>
        <v>-79.7987156345712</v>
      </c>
      <c r="J16" s="7" t="n">
        <f aca="false">J15+I16</f>
        <v>-446.942849333843</v>
      </c>
      <c r="K16" s="7" t="n">
        <f aca="false">AVERAGE(B11:B15)</f>
        <v>5</v>
      </c>
      <c r="L16" s="7" t="n">
        <f aca="false">ABS(B16-K16)</f>
        <v>0</v>
      </c>
    </row>
    <row r="17" customFormat="false" ht="15" hidden="false" customHeight="false" outlineLevel="0" collapsed="false">
      <c r="A17" s="0" t="n">
        <v>16</v>
      </c>
      <c r="B17" s="6" t="n">
        <v>5</v>
      </c>
      <c r="C17" s="7" t="n">
        <f aca="false">C16*(1-Annahmen!$B$13)+Annahmen!$B$15*(1+(B17-3)/2*Annahmen!$B$16)*(1+Annahmen!$B$25*(L17-Annahmen!$B$26))</f>
        <v>209.294798185572</v>
      </c>
      <c r="D17" s="7" t="n">
        <f aca="false">MIN(100,MAX(0,D16-Annahmen!$B$17*(B17-3)-Annahmen!$B$14*(D16-50)+Annahmen!$B$27*(L17-Annahmen!$B$26)))</f>
        <v>0</v>
      </c>
      <c r="E17" s="7" t="n">
        <f aca="false">E16+Annahmen!$B$12*(C17*Annahmen!$B$11*(D17/100)-E16)</f>
        <v>3.92717254838836</v>
      </c>
      <c r="F17" s="7" t="n">
        <f aca="false">C17*Annahmen!$B$10*(D17/100)</f>
        <v>0</v>
      </c>
      <c r="G17" s="7" t="n">
        <f aca="false">E17*Annahmen!$B$9</f>
        <v>7.85434509677672</v>
      </c>
      <c r="H17" s="7" t="n">
        <f aca="false">Annahmen!$B$18*Annahmen!$B$20*Annahmen!$B$19+Annahmen!$B$21+C17*Annahmen!$B$22</f>
        <v>89.0929479818557</v>
      </c>
      <c r="I17" s="7" t="n">
        <f aca="false">F17+G17-H17</f>
        <v>-81.238602885079</v>
      </c>
      <c r="J17" s="7" t="n">
        <f aca="false">J16+I17</f>
        <v>-528.181452218922</v>
      </c>
      <c r="K17" s="7" t="n">
        <f aca="false">AVERAGE(B12:B16)</f>
        <v>5</v>
      </c>
      <c r="L17" s="7" t="n">
        <f aca="false">ABS(B17-K17)</f>
        <v>0</v>
      </c>
    </row>
    <row r="18" customFormat="false" ht="15" hidden="false" customHeight="false" outlineLevel="0" collapsed="false">
      <c r="A18" s="0" t="n">
        <v>17</v>
      </c>
      <c r="B18" s="6" t="n">
        <v>5</v>
      </c>
      <c r="C18" s="7" t="n">
        <f aca="false">C17*(1-Annahmen!$B$13)+Annahmen!$B$15*(1+(B18-3)/2*Annahmen!$B$16)*(1+Annahmen!$B$25*(L18-Annahmen!$B$26))</f>
        <v>214.515954240005</v>
      </c>
      <c r="D18" s="7" t="n">
        <f aca="false">MIN(100,MAX(0,D17-Annahmen!$B$17*(B18-3)-Annahmen!$B$14*(D17-50)+Annahmen!$B$27*(L18-Annahmen!$B$26)))</f>
        <v>0</v>
      </c>
      <c r="E18" s="7" t="n">
        <f aca="false">E17+Annahmen!$B$12*(C18*Annahmen!$B$11*(D18/100)-E17)</f>
        <v>3.33809666613011</v>
      </c>
      <c r="F18" s="7" t="n">
        <f aca="false">C18*Annahmen!$B$10*(D18/100)</f>
        <v>0</v>
      </c>
      <c r="G18" s="7" t="n">
        <f aca="false">E18*Annahmen!$B$9</f>
        <v>6.67619333226022</v>
      </c>
      <c r="H18" s="7" t="n">
        <f aca="false">Annahmen!$B$18*Annahmen!$B$20*Annahmen!$B$19+Annahmen!$B$21+C18*Annahmen!$B$22</f>
        <v>89.1451595424001</v>
      </c>
      <c r="I18" s="7" t="n">
        <f aca="false">F18+G18-H18</f>
        <v>-82.4689662101398</v>
      </c>
      <c r="J18" s="7" t="n">
        <f aca="false">J17+I18</f>
        <v>-610.650418429061</v>
      </c>
      <c r="K18" s="7" t="n">
        <f aca="false">AVERAGE(B13:B17)</f>
        <v>5</v>
      </c>
      <c r="L18" s="7" t="n">
        <f aca="false">ABS(B18-K18)</f>
        <v>0</v>
      </c>
    </row>
    <row r="19" customFormat="false" ht="15" hidden="false" customHeight="false" outlineLevel="0" collapsed="false">
      <c r="A19" s="0" t="n">
        <v>18</v>
      </c>
      <c r="B19" s="6" t="n">
        <v>5</v>
      </c>
      <c r="C19" s="7" t="n">
        <f aca="false">C18*(1-Annahmen!$B$13)+Annahmen!$B$15*(1+(B19-3)/2*Annahmen!$B$16)*(1+Annahmen!$B$25*(L19-Annahmen!$B$26))</f>
        <v>219.580475612805</v>
      </c>
      <c r="D19" s="7" t="n">
        <f aca="false">MIN(100,MAX(0,D18-Annahmen!$B$17*(B19-3)-Annahmen!$B$14*(D18-50)+Annahmen!$B$27*(L19-Annahmen!$B$26)))</f>
        <v>0</v>
      </c>
      <c r="E19" s="7" t="n">
        <f aca="false">E18+Annahmen!$B$12*(C19*Annahmen!$B$11*(D19/100)-E18)</f>
        <v>2.83738216621059</v>
      </c>
      <c r="F19" s="7" t="n">
        <f aca="false">C19*Annahmen!$B$10*(D19/100)</f>
        <v>0</v>
      </c>
      <c r="G19" s="7" t="n">
        <f aca="false">E19*Annahmen!$B$9</f>
        <v>5.67476433242118</v>
      </c>
      <c r="H19" s="7" t="n">
        <f aca="false">Annahmen!$B$18*Annahmen!$B$20*Annahmen!$B$19+Annahmen!$B$21+C19*Annahmen!$B$22</f>
        <v>89.1958047561281</v>
      </c>
      <c r="I19" s="7" t="n">
        <f aca="false">F19+G19-H19</f>
        <v>-83.5210404237069</v>
      </c>
      <c r="J19" s="7" t="n">
        <f aca="false">J18+I19</f>
        <v>-694.171458852768</v>
      </c>
      <c r="K19" s="7" t="n">
        <f aca="false">AVERAGE(B14:B18)</f>
        <v>5</v>
      </c>
      <c r="L19" s="7" t="n">
        <f aca="false">ABS(B19-K19)</f>
        <v>0</v>
      </c>
    </row>
    <row r="20" customFormat="false" ht="15" hidden="false" customHeight="false" outlineLevel="0" collapsed="false">
      <c r="A20" s="0" t="n">
        <v>19</v>
      </c>
      <c r="B20" s="6" t="n">
        <v>5</v>
      </c>
      <c r="C20" s="7" t="n">
        <f aca="false">C19*(1-Annahmen!$B$13)+Annahmen!$B$15*(1+(B20-3)/2*Annahmen!$B$16)*(1+Annahmen!$B$25*(L20-Annahmen!$B$26))</f>
        <v>224.493061344421</v>
      </c>
      <c r="D20" s="7" t="n">
        <f aca="false">MIN(100,MAX(0,D19-Annahmen!$B$17*(B20-3)-Annahmen!$B$14*(D19-50)+Annahmen!$B$27*(L20-Annahmen!$B$26)))</f>
        <v>0</v>
      </c>
      <c r="E20" s="7" t="n">
        <f aca="false">E19+Annahmen!$B$12*(C20*Annahmen!$B$11*(D20/100)-E19)</f>
        <v>2.411774841279</v>
      </c>
      <c r="F20" s="7" t="n">
        <f aca="false">C20*Annahmen!$B$10*(D20/100)</f>
        <v>0</v>
      </c>
      <c r="G20" s="7" t="n">
        <f aca="false">E20*Annahmen!$B$9</f>
        <v>4.82354968255801</v>
      </c>
      <c r="H20" s="7" t="n">
        <f aca="false">Annahmen!$B$18*Annahmen!$B$20*Annahmen!$B$19+Annahmen!$B$21+C20*Annahmen!$B$22</f>
        <v>89.2449306134442</v>
      </c>
      <c r="I20" s="7" t="n">
        <f aca="false">F20+G20-H20</f>
        <v>-84.4213809308862</v>
      </c>
      <c r="J20" s="7" t="n">
        <f aca="false">J19+I20</f>
        <v>-778.592839783654</v>
      </c>
      <c r="K20" s="7" t="n">
        <f aca="false">AVERAGE(B15:B19)</f>
        <v>5</v>
      </c>
      <c r="L20" s="7" t="n">
        <f aca="false">ABS(B20-K20)</f>
        <v>0</v>
      </c>
    </row>
    <row r="21" customFormat="false" ht="15" hidden="false" customHeight="false" outlineLevel="0" collapsed="false">
      <c r="A21" s="0" t="n">
        <v>20</v>
      </c>
      <c r="B21" s="6" t="n">
        <v>5</v>
      </c>
      <c r="C21" s="7" t="n">
        <f aca="false">C20*(1-Annahmen!$B$13)+Annahmen!$B$15*(1+(B21-3)/2*Annahmen!$B$16)*(1+Annahmen!$B$25*(L21-Annahmen!$B$26))</f>
        <v>229.258269504088</v>
      </c>
      <c r="D21" s="7" t="n">
        <f aca="false">MIN(100,MAX(0,D20-Annahmen!$B$17*(B21-3)-Annahmen!$B$14*(D20-50)+Annahmen!$B$27*(L21-Annahmen!$B$26)))</f>
        <v>0</v>
      </c>
      <c r="E21" s="7" t="n">
        <f aca="false">E20+Annahmen!$B$12*(C21*Annahmen!$B$11*(D21/100)-E20)</f>
        <v>2.05000861508715</v>
      </c>
      <c r="F21" s="7" t="n">
        <f aca="false">C21*Annahmen!$B$10*(D21/100)</f>
        <v>0</v>
      </c>
      <c r="G21" s="7" t="n">
        <f aca="false">E21*Annahmen!$B$9</f>
        <v>4.10001723017431</v>
      </c>
      <c r="H21" s="7" t="n">
        <f aca="false">Annahmen!$B$18*Annahmen!$B$20*Annahmen!$B$19+Annahmen!$B$21+C21*Annahmen!$B$22</f>
        <v>89.2925826950409</v>
      </c>
      <c r="I21" s="7" t="n">
        <f aca="false">F21+G21-H21</f>
        <v>-85.1925654648666</v>
      </c>
      <c r="J21" s="7" t="n">
        <f aca="false">J20+I21</f>
        <v>-863.785405248521</v>
      </c>
      <c r="K21" s="7" t="n">
        <f aca="false">AVERAGE(B16:B20)</f>
        <v>5</v>
      </c>
      <c r="L21" s="7" t="n">
        <f aca="false">ABS(B21-K21)</f>
        <v>0</v>
      </c>
    </row>
    <row r="22" customFormat="false" ht="15" hidden="false" customHeight="false" outlineLevel="0" collapsed="false">
      <c r="A22" s="0" t="n">
        <v>21</v>
      </c>
      <c r="B22" s="6" t="n">
        <v>5</v>
      </c>
      <c r="C22" s="7" t="n">
        <f aca="false">C21*(1-Annahmen!$B$13)+Annahmen!$B$15*(1+(B22-3)/2*Annahmen!$B$16)*(1+Annahmen!$B$25*(L22-Annahmen!$B$26))</f>
        <v>233.880521418966</v>
      </c>
      <c r="D22" s="7" t="n">
        <f aca="false">MIN(100,MAX(0,D21-Annahmen!$B$17*(B22-3)-Annahmen!$B$14*(D21-50)+Annahmen!$B$27*(L22-Annahmen!$B$26)))</f>
        <v>0</v>
      </c>
      <c r="E22" s="7" t="n">
        <f aca="false">E21+Annahmen!$B$12*(C22*Annahmen!$B$11*(D22/100)-E21)</f>
        <v>1.74250732282408</v>
      </c>
      <c r="F22" s="7" t="n">
        <f aca="false">C22*Annahmen!$B$10*(D22/100)</f>
        <v>0</v>
      </c>
      <c r="G22" s="7" t="n">
        <f aca="false">E22*Annahmen!$B$9</f>
        <v>3.48501464564816</v>
      </c>
      <c r="H22" s="7" t="n">
        <f aca="false">Annahmen!$B$18*Annahmen!$B$20*Annahmen!$B$19+Annahmen!$B$21+C22*Annahmen!$B$22</f>
        <v>89.3388052141897</v>
      </c>
      <c r="I22" s="7" t="n">
        <f aca="false">F22+G22-H22</f>
        <v>-85.8537905685415</v>
      </c>
      <c r="J22" s="7" t="n">
        <f aca="false">J21+I22</f>
        <v>-949.639195817063</v>
      </c>
      <c r="K22" s="7" t="n">
        <f aca="false">AVERAGE(B17:B21)</f>
        <v>5</v>
      </c>
      <c r="L22" s="7" t="n">
        <f aca="false">ABS(B22-K22)</f>
        <v>0</v>
      </c>
    </row>
    <row r="23" customFormat="false" ht="15" hidden="false" customHeight="false" outlineLevel="0" collapsed="false">
      <c r="A23" s="0" t="n">
        <v>22</v>
      </c>
      <c r="B23" s="6" t="n">
        <v>5</v>
      </c>
      <c r="C23" s="7" t="n">
        <f aca="false">C22*(1-Annahmen!$B$13)+Annahmen!$B$15*(1+(B23-3)/2*Annahmen!$B$16)*(1+Annahmen!$B$25*(L23-Annahmen!$B$26))</f>
        <v>238.364105776397</v>
      </c>
      <c r="D23" s="7" t="n">
        <f aca="false">MIN(100,MAX(0,D22-Annahmen!$B$17*(B23-3)-Annahmen!$B$14*(D22-50)+Annahmen!$B$27*(L23-Annahmen!$B$26)))</f>
        <v>0</v>
      </c>
      <c r="E23" s="7" t="n">
        <f aca="false">E22+Annahmen!$B$12*(C23*Annahmen!$B$11*(D23/100)-E22)</f>
        <v>1.48113122440047</v>
      </c>
      <c r="F23" s="7" t="n">
        <f aca="false">C23*Annahmen!$B$10*(D23/100)</f>
        <v>0</v>
      </c>
      <c r="G23" s="7" t="n">
        <f aca="false">E23*Annahmen!$B$9</f>
        <v>2.96226244880094</v>
      </c>
      <c r="H23" s="7" t="n">
        <f aca="false">Annahmen!$B$18*Annahmen!$B$20*Annahmen!$B$19+Annahmen!$B$21+C23*Annahmen!$B$22</f>
        <v>89.383641057764</v>
      </c>
      <c r="I23" s="7" t="n">
        <f aca="false">F23+G23-H23</f>
        <v>-86.421378608963</v>
      </c>
      <c r="J23" s="7" t="n">
        <f aca="false">J22+I23</f>
        <v>-1036.06057442603</v>
      </c>
      <c r="K23" s="7" t="n">
        <f aca="false">AVERAGE(B18:B22)</f>
        <v>5</v>
      </c>
      <c r="L23" s="7" t="n">
        <f aca="false">ABS(B23-K23)</f>
        <v>0</v>
      </c>
    </row>
    <row r="24" customFormat="false" ht="15" hidden="false" customHeight="false" outlineLevel="0" collapsed="false">
      <c r="A24" s="0" t="n">
        <v>23</v>
      </c>
      <c r="B24" s="6" t="n">
        <v>5</v>
      </c>
      <c r="C24" s="7" t="n">
        <f aca="false">C23*(1-Annahmen!$B$13)+Annahmen!$B$15*(1+(B24-3)/2*Annahmen!$B$16)*(1+Annahmen!$B$25*(L24-Annahmen!$B$26))</f>
        <v>242.713182603105</v>
      </c>
      <c r="D24" s="7" t="n">
        <f aca="false">MIN(100,MAX(0,D23-Annahmen!$B$17*(B24-3)-Annahmen!$B$14*(D23-50)+Annahmen!$B$27*(L24-Annahmen!$B$26)))</f>
        <v>0</v>
      </c>
      <c r="E24" s="7" t="n">
        <f aca="false">E23+Annahmen!$B$12*(C24*Annahmen!$B$11*(D24/100)-E23)</f>
        <v>1.2589615407404</v>
      </c>
      <c r="F24" s="7" t="n">
        <f aca="false">C24*Annahmen!$B$10*(D24/100)</f>
        <v>0</v>
      </c>
      <c r="G24" s="7" t="n">
        <f aca="false">E24*Annahmen!$B$9</f>
        <v>2.5179230814808</v>
      </c>
      <c r="H24" s="7" t="n">
        <f aca="false">Annahmen!$B$18*Annahmen!$B$20*Annahmen!$B$19+Annahmen!$B$21+C24*Annahmen!$B$22</f>
        <v>89.427131826031</v>
      </c>
      <c r="I24" s="7" t="n">
        <f aca="false">F24+G24-H24</f>
        <v>-86.9092087445502</v>
      </c>
      <c r="J24" s="7" t="n">
        <f aca="false">J23+I24</f>
        <v>-1122.96978317058</v>
      </c>
      <c r="K24" s="7" t="n">
        <f aca="false">AVERAGE(B19:B23)</f>
        <v>5</v>
      </c>
      <c r="L24" s="7" t="n">
        <f aca="false">ABS(B24-K24)</f>
        <v>0</v>
      </c>
    </row>
    <row r="25" customFormat="false" ht="15" hidden="false" customHeight="false" outlineLevel="0" collapsed="false">
      <c r="A25" s="0" t="n">
        <v>24</v>
      </c>
      <c r="B25" s="6" t="n">
        <v>5</v>
      </c>
      <c r="C25" s="7" t="n">
        <f aca="false">C24*(1-Annahmen!$B$13)+Annahmen!$B$15*(1+(B25-3)/2*Annahmen!$B$16)*(1+Annahmen!$B$25*(L25-Annahmen!$B$26))</f>
        <v>246.931787125012</v>
      </c>
      <c r="D25" s="7" t="n">
        <f aca="false">MIN(100,MAX(0,D24-Annahmen!$B$17*(B25-3)-Annahmen!$B$14*(D24-50)+Annahmen!$B$27*(L25-Annahmen!$B$26)))</f>
        <v>0</v>
      </c>
      <c r="E25" s="7" t="n">
        <f aca="false">E24+Annahmen!$B$12*(C25*Annahmen!$B$11*(D25/100)-E24)</f>
        <v>1.07011730962934</v>
      </c>
      <c r="F25" s="7" t="n">
        <f aca="false">C25*Annahmen!$B$10*(D25/100)</f>
        <v>0</v>
      </c>
      <c r="G25" s="7" t="n">
        <f aca="false">E25*Annahmen!$B$9</f>
        <v>2.14023461925868</v>
      </c>
      <c r="H25" s="7" t="n">
        <f aca="false">Annahmen!$B$18*Annahmen!$B$20*Annahmen!$B$19+Annahmen!$B$21+C25*Annahmen!$B$22</f>
        <v>89.4693178712501</v>
      </c>
      <c r="I25" s="7" t="n">
        <f aca="false">F25+G25-H25</f>
        <v>-87.3290832519914</v>
      </c>
      <c r="J25" s="7" t="n">
        <f aca="false">J24+I25</f>
        <v>-1210.29886642257</v>
      </c>
      <c r="K25" s="7" t="n">
        <f aca="false">AVERAGE(B20:B24)</f>
        <v>5</v>
      </c>
      <c r="L25" s="7" t="n">
        <f aca="false">ABS(B25-K25)</f>
        <v>0</v>
      </c>
    </row>
    <row r="26" customFormat="false" ht="15" hidden="false" customHeight="false" outlineLevel="0" collapsed="false">
      <c r="A26" s="0" t="n">
        <v>25</v>
      </c>
      <c r="B26" s="6" t="n">
        <v>5</v>
      </c>
      <c r="C26" s="7" t="n">
        <f aca="false">C25*(1-Annahmen!$B$13)+Annahmen!$B$15*(1+(B26-3)/2*Annahmen!$B$16)*(1+Annahmen!$B$25*(L26-Annahmen!$B$26))</f>
        <v>251.023833511261</v>
      </c>
      <c r="D26" s="7" t="n">
        <f aca="false">MIN(100,MAX(0,D25-Annahmen!$B$17*(B26-3)-Annahmen!$B$14*(D25-50)+Annahmen!$B$27*(L26-Annahmen!$B$26)))</f>
        <v>0</v>
      </c>
      <c r="E26" s="7" t="n">
        <f aca="false">E25+Annahmen!$B$12*(C26*Annahmen!$B$11*(D26/100)-E25)</f>
        <v>0.909599713184937</v>
      </c>
      <c r="F26" s="7" t="n">
        <f aca="false">C26*Annahmen!$B$10*(D26/100)</f>
        <v>0</v>
      </c>
      <c r="G26" s="7" t="n">
        <f aca="false">E26*Annahmen!$B$9</f>
        <v>1.81919942636987</v>
      </c>
      <c r="H26" s="7" t="n">
        <f aca="false">Annahmen!$B$18*Annahmen!$B$20*Annahmen!$B$19+Annahmen!$B$21+C26*Annahmen!$B$22</f>
        <v>89.5102383351126</v>
      </c>
      <c r="I26" s="7" t="n">
        <f aca="false">F26+G26-H26</f>
        <v>-87.6910389087427</v>
      </c>
      <c r="J26" s="7" t="n">
        <f aca="false">J25+I26</f>
        <v>-1297.98990533131</v>
      </c>
      <c r="K26" s="7" t="n">
        <f aca="false">AVERAGE(B21:B25)</f>
        <v>5</v>
      </c>
      <c r="L26" s="7" t="n">
        <f aca="false">ABS(B26-K26)</f>
        <v>0</v>
      </c>
    </row>
    <row r="27" customFormat="false" ht="15" hidden="false" customHeight="false" outlineLevel="0" collapsed="false">
      <c r="A27" s="0" t="n">
        <v>26</v>
      </c>
      <c r="B27" s="6" t="n">
        <v>5</v>
      </c>
      <c r="C27" s="7" t="n">
        <f aca="false">C26*(1-Annahmen!$B$13)+Annahmen!$B$15*(1+(B27-3)/2*Annahmen!$B$16)*(1+Annahmen!$B$25*(L27-Annahmen!$B$26))</f>
        <v>254.993118505923</v>
      </c>
      <c r="D27" s="7" t="n">
        <f aca="false">MIN(100,MAX(0,D26-Annahmen!$B$17*(B27-3)-Annahmen!$B$14*(D26-50)+Annahmen!$B$27*(L27-Annahmen!$B$26)))</f>
        <v>0</v>
      </c>
      <c r="E27" s="7" t="n">
        <f aca="false">E26+Annahmen!$B$12*(C27*Annahmen!$B$11*(D27/100)-E26)</f>
        <v>0.773159756207197</v>
      </c>
      <c r="F27" s="7" t="n">
        <f aca="false">C27*Annahmen!$B$10*(D27/100)</f>
        <v>0</v>
      </c>
      <c r="G27" s="7" t="n">
        <f aca="false">E27*Annahmen!$B$9</f>
        <v>1.54631951241439</v>
      </c>
      <c r="H27" s="7" t="n">
        <f aca="false">Annahmen!$B$18*Annahmen!$B$20*Annahmen!$B$19+Annahmen!$B$21+C27*Annahmen!$B$22</f>
        <v>89.5499311850592</v>
      </c>
      <c r="I27" s="7" t="n">
        <f aca="false">F27+G27-H27</f>
        <v>-88.0036116726448</v>
      </c>
      <c r="J27" s="7" t="n">
        <f aca="false">J26+I27</f>
        <v>-1385.99351700395</v>
      </c>
      <c r="K27" s="7" t="n">
        <f aca="false">AVERAGE(B22:B26)</f>
        <v>5</v>
      </c>
      <c r="L27" s="7" t="n">
        <f aca="false">ABS(B27-K27)</f>
        <v>0</v>
      </c>
    </row>
    <row r="28" customFormat="false" ht="15" hidden="false" customHeight="false" outlineLevel="0" collapsed="false">
      <c r="A28" s="0" t="n">
        <v>27</v>
      </c>
      <c r="B28" s="6" t="n">
        <v>5</v>
      </c>
      <c r="C28" s="7" t="n">
        <f aca="false">C27*(1-Annahmen!$B$13)+Annahmen!$B$15*(1+(B28-3)/2*Annahmen!$B$16)*(1+Annahmen!$B$25*(L28-Annahmen!$B$26))</f>
        <v>258.843324950746</v>
      </c>
      <c r="D28" s="7" t="n">
        <f aca="false">MIN(100,MAX(0,D27-Annahmen!$B$17*(B28-3)-Annahmen!$B$14*(D27-50)+Annahmen!$B$27*(L28-Annahmen!$B$26)))</f>
        <v>0</v>
      </c>
      <c r="E28" s="7" t="n">
        <f aca="false">E27+Annahmen!$B$12*(C28*Annahmen!$B$11*(D28/100)-E27)</f>
        <v>0.657185792776117</v>
      </c>
      <c r="F28" s="7" t="n">
        <f aca="false">C28*Annahmen!$B$10*(D28/100)</f>
        <v>0</v>
      </c>
      <c r="G28" s="7" t="n">
        <f aca="false">E28*Annahmen!$B$9</f>
        <v>1.31437158555223</v>
      </c>
      <c r="H28" s="7" t="n">
        <f aca="false">Annahmen!$B$18*Annahmen!$B$20*Annahmen!$B$19+Annahmen!$B$21+C28*Annahmen!$B$22</f>
        <v>89.5884332495075</v>
      </c>
      <c r="I28" s="7" t="n">
        <f aca="false">F28+G28-H28</f>
        <v>-88.2740616639552</v>
      </c>
      <c r="J28" s="7" t="n">
        <f aca="false">J27+I28</f>
        <v>-1474.26757866791</v>
      </c>
      <c r="K28" s="7" t="n">
        <f aca="false">AVERAGE(B23:B27)</f>
        <v>5</v>
      </c>
      <c r="L28" s="7" t="n">
        <f aca="false">ABS(B28-K28)</f>
        <v>0</v>
      </c>
    </row>
    <row r="29" customFormat="false" ht="15" hidden="false" customHeight="false" outlineLevel="0" collapsed="false">
      <c r="A29" s="0" t="n">
        <v>28</v>
      </c>
      <c r="B29" s="6" t="n">
        <v>5</v>
      </c>
      <c r="C29" s="7" t="n">
        <f aca="false">C28*(1-Annahmen!$B$13)+Annahmen!$B$15*(1+(B29-3)/2*Annahmen!$B$16)*(1+Annahmen!$B$25*(L29-Annahmen!$B$26))</f>
        <v>262.578025202223</v>
      </c>
      <c r="D29" s="7" t="n">
        <f aca="false">MIN(100,MAX(0,D28-Annahmen!$B$17*(B29-3)-Annahmen!$B$14*(D28-50)+Annahmen!$B$27*(L29-Annahmen!$B$26)))</f>
        <v>0</v>
      </c>
      <c r="E29" s="7" t="n">
        <f aca="false">E28+Annahmen!$B$12*(C29*Annahmen!$B$11*(D29/100)-E28)</f>
        <v>0.5586079238597</v>
      </c>
      <c r="F29" s="7" t="n">
        <f aca="false">C29*Annahmen!$B$10*(D29/100)</f>
        <v>0</v>
      </c>
      <c r="G29" s="7" t="n">
        <f aca="false">E29*Annahmen!$B$9</f>
        <v>1.1172158477194</v>
      </c>
      <c r="H29" s="7" t="n">
        <f aca="false">Annahmen!$B$18*Annahmen!$B$20*Annahmen!$B$19+Annahmen!$B$21+C29*Annahmen!$B$22</f>
        <v>89.6257802520222</v>
      </c>
      <c r="I29" s="7" t="n">
        <f aca="false">F29+G29-H29</f>
        <v>-88.5085644043029</v>
      </c>
      <c r="J29" s="7" t="n">
        <f aca="false">J28+I29</f>
        <v>-1562.77614307221</v>
      </c>
      <c r="K29" s="7" t="n">
        <f aca="false">AVERAGE(B24:B28)</f>
        <v>5</v>
      </c>
      <c r="L29" s="7" t="n">
        <f aca="false">ABS(B29-K29)</f>
        <v>0</v>
      </c>
    </row>
    <row r="30" customFormat="false" ht="15" hidden="false" customHeight="false" outlineLevel="0" collapsed="false">
      <c r="A30" s="0" t="n">
        <v>29</v>
      </c>
      <c r="B30" s="6" t="n">
        <v>5</v>
      </c>
      <c r="C30" s="7" t="n">
        <f aca="false">C29*(1-Annahmen!$B$13)+Annahmen!$B$15*(1+(B30-3)/2*Annahmen!$B$16)*(1+Annahmen!$B$25*(L30-Annahmen!$B$26))</f>
        <v>266.200684446157</v>
      </c>
      <c r="D30" s="7" t="n">
        <f aca="false">MIN(100,MAX(0,D29-Annahmen!$B$17*(B30-3)-Annahmen!$B$14*(D29-50)+Annahmen!$B$27*(L30-Annahmen!$B$26)))</f>
        <v>0</v>
      </c>
      <c r="E30" s="7" t="n">
        <f aca="false">E29+Annahmen!$B$12*(C30*Annahmen!$B$11*(D30/100)-E29)</f>
        <v>0.474816735280745</v>
      </c>
      <c r="F30" s="7" t="n">
        <f aca="false">C30*Annahmen!$B$10*(D30/100)</f>
        <v>0</v>
      </c>
      <c r="G30" s="7" t="n">
        <f aca="false">E30*Annahmen!$B$9</f>
        <v>0.94963347056149</v>
      </c>
      <c r="H30" s="7" t="n">
        <f aca="false">Annahmen!$B$18*Annahmen!$B$20*Annahmen!$B$19+Annahmen!$B$21+C30*Annahmen!$B$22</f>
        <v>89.6620068444616</v>
      </c>
      <c r="I30" s="7" t="n">
        <f aca="false">F30+G30-H30</f>
        <v>-88.7123733739001</v>
      </c>
      <c r="J30" s="7" t="n">
        <f aca="false">J29+I30</f>
        <v>-1651.48851644611</v>
      </c>
      <c r="K30" s="7" t="n">
        <f aca="false">AVERAGE(B25:B29)</f>
        <v>5</v>
      </c>
      <c r="L30" s="7" t="n">
        <f aca="false">ABS(B30-K30)</f>
        <v>0</v>
      </c>
    </row>
    <row r="31" customFormat="false" ht="15" hidden="false" customHeight="false" outlineLevel="0" collapsed="false">
      <c r="A31" s="0" t="n">
        <v>30</v>
      </c>
      <c r="B31" s="6" t="n">
        <v>5</v>
      </c>
      <c r="C31" s="7" t="n">
        <f aca="false">C30*(1-Annahmen!$B$13)+Annahmen!$B$15*(1+(B31-3)/2*Annahmen!$B$16)*(1+Annahmen!$B$25*(L31-Annahmen!$B$26))</f>
        <v>269.714663912772</v>
      </c>
      <c r="D31" s="7" t="n">
        <f aca="false">MIN(100,MAX(0,D30-Annahmen!$B$17*(B31-3)-Annahmen!$B$14*(D30-50)+Annahmen!$B$27*(L31-Annahmen!$B$26)))</f>
        <v>0</v>
      </c>
      <c r="E31" s="7" t="n">
        <f aca="false">E30+Annahmen!$B$12*(C31*Annahmen!$B$11*(D31/100)-E30)</f>
        <v>0.403594224988633</v>
      </c>
      <c r="F31" s="7" t="n">
        <f aca="false">C31*Annahmen!$B$10*(D31/100)</f>
        <v>0</v>
      </c>
      <c r="G31" s="7" t="n">
        <f aca="false">E31*Annahmen!$B$9</f>
        <v>0.807188449977266</v>
      </c>
      <c r="H31" s="7" t="n">
        <f aca="false">Annahmen!$B$18*Annahmen!$B$20*Annahmen!$B$19+Annahmen!$B$21+C31*Annahmen!$B$22</f>
        <v>89.6971466391277</v>
      </c>
      <c r="I31" s="7" t="n">
        <f aca="false">F31+G31-H31</f>
        <v>-88.8899581891505</v>
      </c>
      <c r="J31" s="7" t="n">
        <f aca="false">J30+I31</f>
        <v>-1740.37847463526</v>
      </c>
      <c r="K31" s="7" t="n">
        <f aca="false">AVERAGE(B26:B30)</f>
        <v>5</v>
      </c>
      <c r="L31" s="7" t="n">
        <f aca="false">ABS(B31-K31)</f>
        <v>0</v>
      </c>
    </row>
    <row r="32" customFormat="false" ht="15" hidden="false" customHeight="false" outlineLevel="0" collapsed="false">
      <c r="A32" s="0" t="n">
        <v>31</v>
      </c>
      <c r="B32" s="6" t="n">
        <v>5</v>
      </c>
      <c r="C32" s="7" t="n">
        <f aca="false">C31*(1-Annahmen!$B$13)+Annahmen!$B$15*(1+(B32-3)/2*Annahmen!$B$16)*(1+Annahmen!$B$25*(L32-Annahmen!$B$26))</f>
        <v>273.123223995389</v>
      </c>
      <c r="D32" s="7" t="n">
        <f aca="false">MIN(100,MAX(0,D31-Annahmen!$B$17*(B32-3)-Annahmen!$B$14*(D31-50)+Annahmen!$B$27*(L32-Annahmen!$B$26)))</f>
        <v>0</v>
      </c>
      <c r="E32" s="7" t="n">
        <f aca="false">E31+Annahmen!$B$12*(C32*Annahmen!$B$11*(D32/100)-E31)</f>
        <v>0.343055091240338</v>
      </c>
      <c r="F32" s="7" t="n">
        <f aca="false">C32*Annahmen!$B$10*(D32/100)</f>
        <v>0</v>
      </c>
      <c r="G32" s="7" t="n">
        <f aca="false">E32*Annahmen!$B$9</f>
        <v>0.686110182480676</v>
      </c>
      <c r="H32" s="7" t="n">
        <f aca="false">Annahmen!$B$18*Annahmen!$B$20*Annahmen!$B$19+Annahmen!$B$21+C32*Annahmen!$B$22</f>
        <v>89.7312322399539</v>
      </c>
      <c r="I32" s="7" t="n">
        <f aca="false">F32+G32-H32</f>
        <v>-89.0451220574732</v>
      </c>
      <c r="J32" s="7" t="n">
        <f aca="false">J31+I32</f>
        <v>-1829.42359669274</v>
      </c>
      <c r="K32" s="7" t="n">
        <f aca="false">AVERAGE(B27:B31)</f>
        <v>5</v>
      </c>
      <c r="L32" s="7" t="n">
        <f aca="false">ABS(B32-K32)</f>
        <v>0</v>
      </c>
    </row>
    <row r="33" customFormat="false" ht="15" hidden="false" customHeight="false" outlineLevel="0" collapsed="false">
      <c r="A33" s="0" t="n">
        <v>32</v>
      </c>
      <c r="B33" s="6" t="n">
        <v>5</v>
      </c>
      <c r="C33" s="7" t="n">
        <f aca="false">C32*(1-Annahmen!$B$13)+Annahmen!$B$15*(1+(B33-3)/2*Annahmen!$B$16)*(1+Annahmen!$B$25*(L33-Annahmen!$B$26))</f>
        <v>276.429527275527</v>
      </c>
      <c r="D33" s="7" t="n">
        <f aca="false">MIN(100,MAX(0,D32-Annahmen!$B$17*(B33-3)-Annahmen!$B$14*(D32-50)+Annahmen!$B$27*(L33-Annahmen!$B$26)))</f>
        <v>0</v>
      </c>
      <c r="E33" s="7" t="n">
        <f aca="false">E32+Annahmen!$B$12*(C33*Annahmen!$B$11*(D33/100)-E32)</f>
        <v>0.291596827554287</v>
      </c>
      <c r="F33" s="7" t="n">
        <f aca="false">C33*Annahmen!$B$10*(D33/100)</f>
        <v>0</v>
      </c>
      <c r="G33" s="7" t="n">
        <f aca="false">E33*Annahmen!$B$9</f>
        <v>0.583193655108575</v>
      </c>
      <c r="H33" s="7" t="n">
        <f aca="false">Annahmen!$B$18*Annahmen!$B$20*Annahmen!$B$19+Annahmen!$B$21+C33*Annahmen!$B$22</f>
        <v>89.7642952727553</v>
      </c>
      <c r="I33" s="7" t="n">
        <f aca="false">F33+G33-H33</f>
        <v>-89.1811016176467</v>
      </c>
      <c r="J33" s="7" t="n">
        <f aca="false">J32+I33</f>
        <v>-1918.60469831038</v>
      </c>
      <c r="K33" s="7" t="n">
        <f aca="false">AVERAGE(B28:B32)</f>
        <v>5</v>
      </c>
      <c r="L33" s="7" t="n">
        <f aca="false">ABS(B33-K33)</f>
        <v>0</v>
      </c>
    </row>
    <row r="34" customFormat="false" ht="15" hidden="false" customHeight="false" outlineLevel="0" collapsed="false">
      <c r="A34" s="0" t="n">
        <v>33</v>
      </c>
      <c r="B34" s="6" t="n">
        <v>5</v>
      </c>
      <c r="C34" s="7" t="n">
        <f aca="false">C33*(1-Annahmen!$B$13)+Annahmen!$B$15*(1+(B34-3)/2*Annahmen!$B$16)*(1+Annahmen!$B$25*(L34-Annahmen!$B$26))</f>
        <v>279.636641457261</v>
      </c>
      <c r="D34" s="7" t="n">
        <f aca="false">MIN(100,MAX(0,D33-Annahmen!$B$17*(B34-3)-Annahmen!$B$14*(D33-50)+Annahmen!$B$27*(L34-Annahmen!$B$26)))</f>
        <v>0</v>
      </c>
      <c r="E34" s="7" t="n">
        <f aca="false">E33+Annahmen!$B$12*(C34*Annahmen!$B$11*(D34/100)-E33)</f>
        <v>0.247857303421144</v>
      </c>
      <c r="F34" s="7" t="n">
        <f aca="false">C34*Annahmen!$B$10*(D34/100)</f>
        <v>0</v>
      </c>
      <c r="G34" s="7" t="n">
        <f aca="false">E34*Annahmen!$B$9</f>
        <v>0.495714606842289</v>
      </c>
      <c r="H34" s="7" t="n">
        <f aca="false">Annahmen!$B$18*Annahmen!$B$20*Annahmen!$B$19+Annahmen!$B$21+C34*Annahmen!$B$22</f>
        <v>89.7963664145726</v>
      </c>
      <c r="I34" s="7" t="n">
        <f aca="false">F34+G34-H34</f>
        <v>-89.3006518077303</v>
      </c>
      <c r="J34" s="7" t="n">
        <f aca="false">J33+I34</f>
        <v>-2007.90535011811</v>
      </c>
      <c r="K34" s="7" t="n">
        <f aca="false">AVERAGE(B29:B33)</f>
        <v>5</v>
      </c>
      <c r="L34" s="7" t="n">
        <f aca="false">ABS(B34-K34)</f>
        <v>0</v>
      </c>
    </row>
    <row r="35" customFormat="false" ht="15" hidden="false" customHeight="false" outlineLevel="0" collapsed="false">
      <c r="A35" s="0" t="n">
        <v>34</v>
      </c>
      <c r="B35" s="6" t="n">
        <v>5</v>
      </c>
      <c r="C35" s="7" t="n">
        <f aca="false">C34*(1-Annahmen!$B$13)+Annahmen!$B$15*(1+(B35-3)/2*Annahmen!$B$16)*(1+Annahmen!$B$25*(L35-Annahmen!$B$26))</f>
        <v>282.747542213543</v>
      </c>
      <c r="D35" s="7" t="n">
        <f aca="false">MIN(100,MAX(0,D34-Annahmen!$B$17*(B35-3)-Annahmen!$B$14*(D34-50)+Annahmen!$B$27*(L35-Annahmen!$B$26)))</f>
        <v>0</v>
      </c>
      <c r="E35" s="7" t="n">
        <f aca="false">E34+Annahmen!$B$12*(C35*Annahmen!$B$11*(D35/100)-E34)</f>
        <v>0.210678707907973</v>
      </c>
      <c r="F35" s="7" t="n">
        <f aca="false">C35*Annahmen!$B$10*(D35/100)</f>
        <v>0</v>
      </c>
      <c r="G35" s="7" t="n">
        <f aca="false">E35*Annahmen!$B$9</f>
        <v>0.421357415815945</v>
      </c>
      <c r="H35" s="7" t="n">
        <f aca="false">Annahmen!$B$18*Annahmen!$B$20*Annahmen!$B$19+Annahmen!$B$21+C35*Annahmen!$B$22</f>
        <v>89.8274754221354</v>
      </c>
      <c r="I35" s="7" t="n">
        <f aca="false">F35+G35-H35</f>
        <v>-89.4061180063195</v>
      </c>
      <c r="J35" s="7" t="n">
        <f aca="false">J34+I35</f>
        <v>-2097.31146812443</v>
      </c>
      <c r="K35" s="7" t="n">
        <f aca="false">AVERAGE(B30:B34)</f>
        <v>5</v>
      </c>
      <c r="L35" s="7" t="n">
        <f aca="false">ABS(B35-K35)</f>
        <v>0</v>
      </c>
    </row>
    <row r="36" customFormat="false" ht="15" hidden="false" customHeight="false" outlineLevel="0" collapsed="false">
      <c r="A36" s="0" t="n">
        <v>35</v>
      </c>
      <c r="B36" s="6" t="n">
        <v>5</v>
      </c>
      <c r="C36" s="7" t="n">
        <f aca="false">C35*(1-Annahmen!$B$13)+Annahmen!$B$15*(1+(B36-3)/2*Annahmen!$B$16)*(1+Annahmen!$B$25*(L36-Annahmen!$B$26))</f>
        <v>285.765115947137</v>
      </c>
      <c r="D36" s="7" t="n">
        <f aca="false">MIN(100,MAX(0,D35-Annahmen!$B$17*(B36-3)-Annahmen!$B$14*(D35-50)+Annahmen!$B$27*(L36-Annahmen!$B$26)))</f>
        <v>0</v>
      </c>
      <c r="E36" s="7" t="n">
        <f aca="false">E35+Annahmen!$B$12*(C36*Annahmen!$B$11*(D36/100)-E35)</f>
        <v>0.179076901721777</v>
      </c>
      <c r="F36" s="7" t="n">
        <f aca="false">C36*Annahmen!$B$10*(D36/100)</f>
        <v>0</v>
      </c>
      <c r="G36" s="7" t="n">
        <f aca="false">E36*Annahmen!$B$9</f>
        <v>0.358153803443554</v>
      </c>
      <c r="H36" s="7" t="n">
        <f aca="false">Annahmen!$B$18*Annahmen!$B$20*Annahmen!$B$19+Annahmen!$B$21+C36*Annahmen!$B$22</f>
        <v>89.8576511594714</v>
      </c>
      <c r="I36" s="7" t="n">
        <f aca="false">F36+G36-H36</f>
        <v>-89.4994973560278</v>
      </c>
      <c r="J36" s="7" t="n">
        <f aca="false">J35+I36</f>
        <v>-2186.81096548046</v>
      </c>
      <c r="K36" s="7" t="n">
        <f aca="false">AVERAGE(B31:B35)</f>
        <v>5</v>
      </c>
      <c r="L36" s="7" t="n">
        <f aca="false">ABS(B36-K36)</f>
        <v>0</v>
      </c>
    </row>
    <row r="37" customFormat="false" ht="15" hidden="false" customHeight="false" outlineLevel="0" collapsed="false">
      <c r="A37" s="0" t="n">
        <v>36</v>
      </c>
      <c r="B37" s="6" t="n">
        <v>5</v>
      </c>
      <c r="C37" s="7" t="n">
        <f aca="false">C36*(1-Annahmen!$B$13)+Annahmen!$B$15*(1+(B37-3)/2*Annahmen!$B$16)*(1+Annahmen!$B$25*(L37-Annahmen!$B$26))</f>
        <v>288.692162468723</v>
      </c>
      <c r="D37" s="7" t="n">
        <f aca="false">MIN(100,MAX(0,D36-Annahmen!$B$17*(B37-3)-Annahmen!$B$14*(D36-50)+Annahmen!$B$27*(L37-Annahmen!$B$26)))</f>
        <v>0</v>
      </c>
      <c r="E37" s="7" t="n">
        <f aca="false">E36+Annahmen!$B$12*(C37*Annahmen!$B$11*(D37/100)-E36)</f>
        <v>0.15221536646351</v>
      </c>
      <c r="F37" s="7" t="n">
        <f aca="false">C37*Annahmen!$B$10*(D37/100)</f>
        <v>0</v>
      </c>
      <c r="G37" s="7" t="n">
        <f aca="false">E37*Annahmen!$B$9</f>
        <v>0.304430732927021</v>
      </c>
      <c r="H37" s="7" t="n">
        <f aca="false">Annahmen!$B$18*Annahmen!$B$20*Annahmen!$B$19+Annahmen!$B$21+C37*Annahmen!$B$22</f>
        <v>89.8869216246872</v>
      </c>
      <c r="I37" s="7" t="n">
        <f aca="false">F37+G37-H37</f>
        <v>-89.5824908917602</v>
      </c>
      <c r="J37" s="7" t="n">
        <f aca="false">J36+I37</f>
        <v>-2276.39345637222</v>
      </c>
      <c r="K37" s="7" t="n">
        <f aca="false">AVERAGE(B32:B36)</f>
        <v>5</v>
      </c>
      <c r="L37" s="7" t="n">
        <f aca="false">ABS(B37-K37)</f>
        <v>0</v>
      </c>
    </row>
    <row r="38" customFormat="false" ht="15" hidden="false" customHeight="false" outlineLevel="0" collapsed="false">
      <c r="A38" s="0" t="n">
        <v>37</v>
      </c>
      <c r="B38" s="6" t="n">
        <v>5</v>
      </c>
      <c r="C38" s="7" t="n">
        <f aca="false">C37*(1-Annahmen!$B$13)+Annahmen!$B$15*(1+(B38-3)/2*Annahmen!$B$16)*(1+Annahmen!$B$25*(L38-Annahmen!$B$26))</f>
        <v>291.531397594661</v>
      </c>
      <c r="D38" s="7" t="n">
        <f aca="false">MIN(100,MAX(0,D37-Annahmen!$B$17*(B38-3)-Annahmen!$B$14*(D37-50)+Annahmen!$B$27*(L38-Annahmen!$B$26)))</f>
        <v>0</v>
      </c>
      <c r="E38" s="7" t="n">
        <f aca="false">E37+Annahmen!$B$12*(C38*Annahmen!$B$11*(D38/100)-E37)</f>
        <v>0.129383061493984</v>
      </c>
      <c r="F38" s="7" t="n">
        <f aca="false">C38*Annahmen!$B$10*(D38/100)</f>
        <v>0</v>
      </c>
      <c r="G38" s="7" t="n">
        <f aca="false">E38*Annahmen!$B$9</f>
        <v>0.258766122987967</v>
      </c>
      <c r="H38" s="7" t="n">
        <f aca="false">Annahmen!$B$18*Annahmen!$B$20*Annahmen!$B$19+Annahmen!$B$21+C38*Annahmen!$B$22</f>
        <v>89.9153139759466</v>
      </c>
      <c r="I38" s="7" t="n">
        <f aca="false">F38+G38-H38</f>
        <v>-89.6565478529587</v>
      </c>
      <c r="J38" s="7" t="n">
        <f aca="false">J37+I38</f>
        <v>-2366.05000422518</v>
      </c>
      <c r="K38" s="7" t="n">
        <f aca="false">AVERAGE(B33:B37)</f>
        <v>5</v>
      </c>
      <c r="L38" s="7" t="n">
        <f aca="false">ABS(B38-K38)</f>
        <v>0</v>
      </c>
    </row>
    <row r="39" customFormat="false" ht="15" hidden="false" customHeight="false" outlineLevel="0" collapsed="false">
      <c r="A39" s="0" t="n">
        <v>38</v>
      </c>
      <c r="B39" s="6" t="n">
        <v>5</v>
      </c>
      <c r="C39" s="7" t="n">
        <f aca="false">C38*(1-Annahmen!$B$13)+Annahmen!$B$15*(1+(B39-3)/2*Annahmen!$B$16)*(1+Annahmen!$B$25*(L39-Annahmen!$B$26))</f>
        <v>294.285455666821</v>
      </c>
      <c r="D39" s="7" t="n">
        <f aca="false">MIN(100,MAX(0,D38-Annahmen!$B$17*(B39-3)-Annahmen!$B$14*(D38-50)+Annahmen!$B$27*(L39-Annahmen!$B$26)))</f>
        <v>0</v>
      </c>
      <c r="E39" s="7" t="n">
        <f aca="false">E38+Annahmen!$B$12*(C39*Annahmen!$B$11*(D39/100)-E38)</f>
        <v>0.109975602269886</v>
      </c>
      <c r="F39" s="7" t="n">
        <f aca="false">C39*Annahmen!$B$10*(D39/100)</f>
        <v>0</v>
      </c>
      <c r="G39" s="7" t="n">
        <f aca="false">E39*Annahmen!$B$9</f>
        <v>0.219951204539772</v>
      </c>
      <c r="H39" s="7" t="n">
        <f aca="false">Annahmen!$B$18*Annahmen!$B$20*Annahmen!$B$19+Annahmen!$B$21+C39*Annahmen!$B$22</f>
        <v>89.9428545566682</v>
      </c>
      <c r="I39" s="7" t="n">
        <f aca="false">F39+G39-H39</f>
        <v>-89.7229033521284</v>
      </c>
      <c r="J39" s="7" t="n">
        <f aca="false">J38+I39</f>
        <v>-2455.77290757731</v>
      </c>
      <c r="K39" s="7" t="n">
        <f aca="false">AVERAGE(B34:B38)</f>
        <v>5</v>
      </c>
      <c r="L39" s="7" t="n">
        <f aca="false">ABS(B39-K39)</f>
        <v>0</v>
      </c>
    </row>
    <row r="40" customFormat="false" ht="15" hidden="false" customHeight="false" outlineLevel="0" collapsed="false">
      <c r="A40" s="0" t="n">
        <v>39</v>
      </c>
      <c r="B40" s="6" t="n">
        <v>5</v>
      </c>
      <c r="C40" s="7" t="n">
        <f aca="false">C39*(1-Annahmen!$B$13)+Annahmen!$B$15*(1+(B40-3)/2*Annahmen!$B$16)*(1+Annahmen!$B$25*(L40-Annahmen!$B$26))</f>
        <v>296.956891996817</v>
      </c>
      <c r="D40" s="7" t="n">
        <f aca="false">MIN(100,MAX(0,D39-Annahmen!$B$17*(B40-3)-Annahmen!$B$14*(D39-50)+Annahmen!$B$27*(L40-Annahmen!$B$26)))</f>
        <v>0</v>
      </c>
      <c r="E40" s="7" t="n">
        <f aca="false">E39+Annahmen!$B$12*(C40*Annahmen!$B$11*(D40/100)-E39)</f>
        <v>0.0934792619294032</v>
      </c>
      <c r="F40" s="7" t="n">
        <f aca="false">C40*Annahmen!$B$10*(D40/100)</f>
        <v>0</v>
      </c>
      <c r="G40" s="7" t="n">
        <f aca="false">E40*Annahmen!$B$9</f>
        <v>0.186958523858806</v>
      </c>
      <c r="H40" s="7" t="n">
        <f aca="false">Annahmen!$B$18*Annahmen!$B$20*Annahmen!$B$19+Annahmen!$B$21+C40*Annahmen!$B$22</f>
        <v>89.9695689199682</v>
      </c>
      <c r="I40" s="7" t="n">
        <f aca="false">F40+G40-H40</f>
        <v>-89.7826103961094</v>
      </c>
      <c r="J40" s="7" t="n">
        <f aca="false">J39+I40</f>
        <v>-2545.55551797342</v>
      </c>
      <c r="K40" s="7" t="n">
        <f aca="false">AVERAGE(B35:B39)</f>
        <v>5</v>
      </c>
      <c r="L40" s="7" t="n">
        <f aca="false">ABS(B40-K40)</f>
        <v>0</v>
      </c>
    </row>
    <row r="41" customFormat="false" ht="15" hidden="false" customHeight="false" outlineLevel="0" collapsed="false">
      <c r="A41" s="0" t="n">
        <v>40</v>
      </c>
      <c r="B41" s="6" t="n">
        <v>5</v>
      </c>
      <c r="C41" s="7" t="n">
        <f aca="false">C40*(1-Annahmen!$B$13)+Annahmen!$B$15*(1+(B41-3)/2*Annahmen!$B$16)*(1+Annahmen!$B$25*(L41-Annahmen!$B$26))</f>
        <v>299.548185236912</v>
      </c>
      <c r="D41" s="7" t="n">
        <f aca="false">MIN(100,MAX(0,D40-Annahmen!$B$17*(B41-3)-Annahmen!$B$14*(D40-50)+Annahmen!$B$27*(L41-Annahmen!$B$26)))</f>
        <v>0</v>
      </c>
      <c r="E41" s="7" t="n">
        <f aca="false">E40+Annahmen!$B$12*(C41*Annahmen!$B$11*(D41/100)-E40)</f>
        <v>0.0794573726399928</v>
      </c>
      <c r="F41" s="7" t="n">
        <f aca="false">C41*Annahmen!$B$10*(D41/100)</f>
        <v>0</v>
      </c>
      <c r="G41" s="7" t="n">
        <f aca="false">E41*Annahmen!$B$9</f>
        <v>0.158914745279986</v>
      </c>
      <c r="H41" s="7" t="n">
        <f aca="false">Annahmen!$B$18*Annahmen!$B$20*Annahmen!$B$19+Annahmen!$B$21+C41*Annahmen!$B$22</f>
        <v>89.9954818523691</v>
      </c>
      <c r="I41" s="7" t="n">
        <f aca="false">F41+G41-H41</f>
        <v>-89.8365671070891</v>
      </c>
      <c r="J41" s="7" t="n">
        <f aca="false">J40+I41</f>
        <v>-2635.39208508051</v>
      </c>
      <c r="K41" s="7" t="n">
        <f aca="false">AVERAGE(B36:B40)</f>
        <v>5</v>
      </c>
      <c r="L41" s="7" t="n">
        <f aca="false">ABS(B41-K41)</f>
        <v>0</v>
      </c>
    </row>
    <row r="42" customFormat="false" ht="15" hidden="false" customHeight="false" outlineLevel="0" collapsed="false">
      <c r="A42" s="0" t="n">
        <v>41</v>
      </c>
      <c r="B42" s="6" t="n">
        <v>5</v>
      </c>
      <c r="C42" s="7" t="n">
        <f aca="false">C41*(1-Annahmen!$B$13)+Annahmen!$B$15*(1+(B42-3)/2*Annahmen!$B$16)*(1+Annahmen!$B$25*(L42-Annahmen!$B$26))</f>
        <v>302.061739679805</v>
      </c>
      <c r="D42" s="7" t="n">
        <f aca="false">MIN(100,MAX(0,D41-Annahmen!$B$17*(B42-3)-Annahmen!$B$14*(D41-50)+Annahmen!$B$27*(L42-Annahmen!$B$26)))</f>
        <v>0</v>
      </c>
      <c r="E42" s="7" t="n">
        <f aca="false">E41+Annahmen!$B$12*(C42*Annahmen!$B$11*(D42/100)-E41)</f>
        <v>0.0675387667439938</v>
      </c>
      <c r="F42" s="7" t="n">
        <f aca="false">C42*Annahmen!$B$10*(D42/100)</f>
        <v>0</v>
      </c>
      <c r="G42" s="7" t="n">
        <f aca="false">E42*Annahmen!$B$9</f>
        <v>0.135077533487988</v>
      </c>
      <c r="H42" s="7" t="n">
        <f aca="false">Annahmen!$B$18*Annahmen!$B$20*Annahmen!$B$19+Annahmen!$B$21+C42*Annahmen!$B$22</f>
        <v>90.020617396798</v>
      </c>
      <c r="I42" s="7" t="n">
        <f aca="false">F42+G42-H42</f>
        <v>-89.8855398633101</v>
      </c>
      <c r="J42" s="7" t="n">
        <f aca="false">J41+I42</f>
        <v>-2725.27762494382</v>
      </c>
      <c r="K42" s="7" t="n">
        <f aca="false">AVERAGE(B37:B41)</f>
        <v>5</v>
      </c>
      <c r="L42" s="7" t="n">
        <f aca="false">ABS(B42-K42)</f>
        <v>0</v>
      </c>
    </row>
    <row r="43" customFormat="false" ht="15" hidden="false" customHeight="false" outlineLevel="0" collapsed="false">
      <c r="A43" s="0" t="n">
        <v>42</v>
      </c>
      <c r="B43" s="6" t="n">
        <v>5</v>
      </c>
      <c r="C43" s="7" t="n">
        <f aca="false">C42*(1-Annahmen!$B$13)+Annahmen!$B$15*(1+(B43-3)/2*Annahmen!$B$16)*(1+Annahmen!$B$25*(L43-Annahmen!$B$26))</f>
        <v>304.499887489411</v>
      </c>
      <c r="D43" s="7" t="n">
        <f aca="false">MIN(100,MAX(0,D42-Annahmen!$B$17*(B43-3)-Annahmen!$B$14*(D42-50)+Annahmen!$B$27*(L43-Annahmen!$B$26)))</f>
        <v>0</v>
      </c>
      <c r="E43" s="7" t="n">
        <f aca="false">E42+Annahmen!$B$12*(C43*Annahmen!$B$11*(D43/100)-E42)</f>
        <v>0.0574079517323948</v>
      </c>
      <c r="F43" s="7" t="n">
        <f aca="false">C43*Annahmen!$B$10*(D43/100)</f>
        <v>0</v>
      </c>
      <c r="G43" s="7" t="n">
        <f aca="false">E43*Annahmen!$B$9</f>
        <v>0.11481590346479</v>
      </c>
      <c r="H43" s="7" t="n">
        <f aca="false">Annahmen!$B$18*Annahmen!$B$20*Annahmen!$B$19+Annahmen!$B$21+C43*Annahmen!$B$22</f>
        <v>90.0449988748941</v>
      </c>
      <c r="I43" s="7" t="n">
        <f aca="false">F43+G43-H43</f>
        <v>-89.9301829714293</v>
      </c>
      <c r="J43" s="7" t="n">
        <f aca="false">J42+I43</f>
        <v>-2815.20780791525</v>
      </c>
      <c r="K43" s="7" t="n">
        <f aca="false">AVERAGE(B38:B42)</f>
        <v>5</v>
      </c>
      <c r="L43" s="7" t="n">
        <f aca="false">ABS(B43-K43)</f>
        <v>0</v>
      </c>
    </row>
    <row r="44" customFormat="false" ht="15" hidden="false" customHeight="false" outlineLevel="0" collapsed="false">
      <c r="A44" s="0" t="n">
        <v>43</v>
      </c>
      <c r="B44" s="6" t="n">
        <v>5</v>
      </c>
      <c r="C44" s="7" t="n">
        <f aca="false">C43*(1-Annahmen!$B$13)+Annahmen!$B$15*(1+(B44-3)/2*Annahmen!$B$16)*(1+Annahmen!$B$25*(L44-Annahmen!$B$26))</f>
        <v>306.864890864728</v>
      </c>
      <c r="D44" s="7" t="n">
        <f aca="false">MIN(100,MAX(0,D43-Annahmen!$B$17*(B44-3)-Annahmen!$B$14*(D43-50)+Annahmen!$B$27*(L44-Annahmen!$B$26)))</f>
        <v>0</v>
      </c>
      <c r="E44" s="7" t="n">
        <f aca="false">E43+Annahmen!$B$12*(C44*Annahmen!$B$11*(D44/100)-E43)</f>
        <v>0.0487967589725356</v>
      </c>
      <c r="F44" s="7" t="n">
        <f aca="false">C44*Annahmen!$B$10*(D44/100)</f>
        <v>0</v>
      </c>
      <c r="G44" s="7" t="n">
        <f aca="false">E44*Annahmen!$B$9</f>
        <v>0.0975935179450711</v>
      </c>
      <c r="H44" s="7" t="n">
        <f aca="false">Annahmen!$B$18*Annahmen!$B$20*Annahmen!$B$19+Annahmen!$B$21+C44*Annahmen!$B$22</f>
        <v>90.0686489086473</v>
      </c>
      <c r="I44" s="7" t="n">
        <f aca="false">F44+G44-H44</f>
        <v>-89.9710553907022</v>
      </c>
      <c r="J44" s="7" t="n">
        <f aca="false">J43+I44</f>
        <v>-2905.17886330595</v>
      </c>
      <c r="K44" s="7" t="n">
        <f aca="false">AVERAGE(B39:B43)</f>
        <v>5</v>
      </c>
      <c r="L44" s="7" t="n">
        <f aca="false">ABS(B44-K44)</f>
        <v>0</v>
      </c>
    </row>
    <row r="45" customFormat="false" ht="15" hidden="false" customHeight="false" outlineLevel="0" collapsed="false">
      <c r="A45" s="0" t="n">
        <v>44</v>
      </c>
      <c r="B45" s="6" t="n">
        <v>5</v>
      </c>
      <c r="C45" s="7" t="n">
        <f aca="false">C44*(1-Annahmen!$B$13)+Annahmen!$B$15*(1+(B45-3)/2*Annahmen!$B$16)*(1+Annahmen!$B$25*(L45-Annahmen!$B$26))</f>
        <v>309.158944138786</v>
      </c>
      <c r="D45" s="7" t="n">
        <f aca="false">MIN(100,MAX(0,D44-Annahmen!$B$17*(B45-3)-Annahmen!$B$14*(D44-50)+Annahmen!$B$27*(L45-Annahmen!$B$26)))</f>
        <v>0</v>
      </c>
      <c r="E45" s="7" t="n">
        <f aca="false">E44+Annahmen!$B$12*(C45*Annahmen!$B$11*(D45/100)-E44)</f>
        <v>0.0414772451266552</v>
      </c>
      <c r="F45" s="7" t="n">
        <f aca="false">C45*Annahmen!$B$10*(D45/100)</f>
        <v>0</v>
      </c>
      <c r="G45" s="7" t="n">
        <f aca="false">E45*Annahmen!$B$9</f>
        <v>0.0829544902533104</v>
      </c>
      <c r="H45" s="7" t="n">
        <f aca="false">Annahmen!$B$18*Annahmen!$B$20*Annahmen!$B$19+Annahmen!$B$21+C45*Annahmen!$B$22</f>
        <v>90.0915894413879</v>
      </c>
      <c r="I45" s="7" t="n">
        <f aca="false">F45+G45-H45</f>
        <v>-90.0086349511346</v>
      </c>
      <c r="J45" s="7" t="n">
        <f aca="false">J44+I45</f>
        <v>-2995.18749825708</v>
      </c>
      <c r="K45" s="7" t="n">
        <f aca="false">AVERAGE(B40:B44)</f>
        <v>5</v>
      </c>
      <c r="L45" s="7" t="n">
        <f aca="false">ABS(B45-K45)</f>
        <v>0</v>
      </c>
    </row>
    <row r="46" customFormat="false" ht="15" hidden="false" customHeight="false" outlineLevel="0" collapsed="false">
      <c r="A46" s="0" t="n">
        <v>45</v>
      </c>
      <c r="B46" s="6" t="n">
        <v>5</v>
      </c>
      <c r="C46" s="7" t="n">
        <f aca="false">C45*(1-Annahmen!$B$13)+Annahmen!$B$15*(1+(B46-3)/2*Annahmen!$B$16)*(1+Annahmen!$B$25*(L46-Annahmen!$B$26))</f>
        <v>311.384175814623</v>
      </c>
      <c r="D46" s="7" t="n">
        <f aca="false">MIN(100,MAX(0,D45-Annahmen!$B$17*(B46-3)-Annahmen!$B$14*(D45-50)+Annahmen!$B$27*(L46-Annahmen!$B$26)))</f>
        <v>0</v>
      </c>
      <c r="E46" s="7" t="n">
        <f aca="false">E45+Annahmen!$B$12*(C46*Annahmen!$B$11*(D46/100)-E45)</f>
        <v>0.0352556583576569</v>
      </c>
      <c r="F46" s="7" t="n">
        <f aca="false">C46*Annahmen!$B$10*(D46/100)</f>
        <v>0</v>
      </c>
      <c r="G46" s="7" t="n">
        <f aca="false">E46*Annahmen!$B$9</f>
        <v>0.0705113167153139</v>
      </c>
      <c r="H46" s="7" t="n">
        <f aca="false">Annahmen!$B$18*Annahmen!$B$20*Annahmen!$B$19+Annahmen!$B$21+C46*Annahmen!$B$22</f>
        <v>90.1138417581462</v>
      </c>
      <c r="I46" s="7" t="n">
        <f aca="false">F46+G46-H46</f>
        <v>-90.0433304414309</v>
      </c>
      <c r="J46" s="7" t="n">
        <f aca="false">J45+I46</f>
        <v>-3085.23082869851</v>
      </c>
      <c r="K46" s="7" t="n">
        <f aca="false">AVERAGE(B41:B45)</f>
        <v>5</v>
      </c>
      <c r="L46" s="7" t="n">
        <f aca="false">ABS(B46-K46)</f>
        <v>0</v>
      </c>
    </row>
    <row r="47" customFormat="false" ht="15" hidden="false" customHeight="false" outlineLevel="0" collapsed="false">
      <c r="A47" s="0" t="n">
        <v>46</v>
      </c>
      <c r="B47" s="6" t="n">
        <v>5</v>
      </c>
      <c r="C47" s="7" t="n">
        <f aca="false">C46*(1-Annahmen!$B$13)+Annahmen!$B$15*(1+(B47-3)/2*Annahmen!$B$16)*(1+Annahmen!$B$25*(L47-Annahmen!$B$26))</f>
        <v>313.542650540184</v>
      </c>
      <c r="D47" s="7" t="n">
        <f aca="false">MIN(100,MAX(0,D46-Annahmen!$B$17*(B47-3)-Annahmen!$B$14*(D46-50)+Annahmen!$B$27*(L47-Annahmen!$B$26)))</f>
        <v>0</v>
      </c>
      <c r="E47" s="7" t="n">
        <f aca="false">E46+Annahmen!$B$12*(C47*Annahmen!$B$11*(D47/100)-E46)</f>
        <v>0.0299673096040084</v>
      </c>
      <c r="F47" s="7" t="n">
        <f aca="false">C47*Annahmen!$B$10*(D47/100)</f>
        <v>0</v>
      </c>
      <c r="G47" s="7" t="n">
        <f aca="false">E47*Annahmen!$B$9</f>
        <v>0.0599346192080168</v>
      </c>
      <c r="H47" s="7" t="n">
        <f aca="false">Annahmen!$B$18*Annahmen!$B$20*Annahmen!$B$19+Annahmen!$B$21+C47*Annahmen!$B$22</f>
        <v>90.1354265054018</v>
      </c>
      <c r="I47" s="7" t="n">
        <f aca="false">F47+G47-H47</f>
        <v>-90.0754918861938</v>
      </c>
      <c r="J47" s="7" t="n">
        <f aca="false">J46+I47</f>
        <v>-3175.30632058471</v>
      </c>
      <c r="K47" s="7" t="n">
        <f aca="false">AVERAGE(B42:B46)</f>
        <v>5</v>
      </c>
      <c r="L47" s="7" t="n">
        <f aca="false">ABS(B47-K47)</f>
        <v>0</v>
      </c>
    </row>
    <row r="48" customFormat="false" ht="15" hidden="false" customHeight="false" outlineLevel="0" collapsed="false">
      <c r="A48" s="0" t="n">
        <v>47</v>
      </c>
      <c r="B48" s="6" t="n">
        <v>5</v>
      </c>
      <c r="C48" s="7" t="n">
        <f aca="false">C47*(1-Annahmen!$B$13)+Annahmen!$B$15*(1+(B48-3)/2*Annahmen!$B$16)*(1+Annahmen!$B$25*(L48-Annahmen!$B$26))</f>
        <v>315.636371023979</v>
      </c>
      <c r="D48" s="7" t="n">
        <f aca="false">MIN(100,MAX(0,D47-Annahmen!$B$17*(B48-3)-Annahmen!$B$14*(D47-50)+Annahmen!$B$27*(L48-Annahmen!$B$26)))</f>
        <v>0</v>
      </c>
      <c r="E48" s="7" t="n">
        <f aca="false">E47+Annahmen!$B$12*(C48*Annahmen!$B$11*(D48/100)-E47)</f>
        <v>0.0254722131634071</v>
      </c>
      <c r="F48" s="7" t="n">
        <f aca="false">C48*Annahmen!$B$10*(D48/100)</f>
        <v>0</v>
      </c>
      <c r="G48" s="7" t="n">
        <f aca="false">E48*Annahmen!$B$9</f>
        <v>0.0509444263268143</v>
      </c>
      <c r="H48" s="7" t="n">
        <f aca="false">Annahmen!$B$18*Annahmen!$B$20*Annahmen!$B$19+Annahmen!$B$21+C48*Annahmen!$B$22</f>
        <v>90.1563637102398</v>
      </c>
      <c r="I48" s="7" t="n">
        <f aca="false">F48+G48-H48</f>
        <v>-90.105419283913</v>
      </c>
      <c r="J48" s="7" t="n">
        <f aca="false">J47+I48</f>
        <v>-3265.41173986862</v>
      </c>
      <c r="K48" s="7" t="n">
        <f aca="false">AVERAGE(B43:B47)</f>
        <v>5</v>
      </c>
      <c r="L48" s="7" t="n">
        <f aca="false">ABS(B48-K48)</f>
        <v>0</v>
      </c>
    </row>
    <row r="49" customFormat="false" ht="15" hidden="false" customHeight="false" outlineLevel="0" collapsed="false">
      <c r="A49" s="0" t="n">
        <v>48</v>
      </c>
      <c r="B49" s="6" t="n">
        <v>5</v>
      </c>
      <c r="C49" s="7" t="n">
        <f aca="false">C48*(1-Annahmen!$B$13)+Annahmen!$B$15*(1+(B49-3)/2*Annahmen!$B$16)*(1+Annahmen!$B$25*(L49-Annahmen!$B$26))</f>
        <v>317.667279893259</v>
      </c>
      <c r="D49" s="7" t="n">
        <f aca="false">MIN(100,MAX(0,D48-Annahmen!$B$17*(B49-3)-Annahmen!$B$14*(D48-50)+Annahmen!$B$27*(L49-Annahmen!$B$26)))</f>
        <v>0</v>
      </c>
      <c r="E49" s="7" t="n">
        <f aca="false">E48+Annahmen!$B$12*(C49*Annahmen!$B$11*(D49/100)-E48)</f>
        <v>0.0216513811888961</v>
      </c>
      <c r="F49" s="7" t="n">
        <f aca="false">C49*Annahmen!$B$10*(D49/100)</f>
        <v>0</v>
      </c>
      <c r="G49" s="7" t="n">
        <f aca="false">E49*Annahmen!$B$9</f>
        <v>0.0433027623777921</v>
      </c>
      <c r="H49" s="7" t="n">
        <f aca="false">Annahmen!$B$18*Annahmen!$B$20*Annahmen!$B$19+Annahmen!$B$21+C49*Annahmen!$B$22</f>
        <v>90.1766727989326</v>
      </c>
      <c r="I49" s="7" t="n">
        <f aca="false">F49+G49-H49</f>
        <v>-90.1333700365548</v>
      </c>
      <c r="J49" s="7" t="n">
        <f aca="false">J48+I49</f>
        <v>-3355.54510990518</v>
      </c>
      <c r="K49" s="7" t="n">
        <f aca="false">AVERAGE(B44:B48)</f>
        <v>5</v>
      </c>
      <c r="L49" s="7" t="n">
        <f aca="false">ABS(B49-K49)</f>
        <v>0</v>
      </c>
    </row>
    <row r="50" customFormat="false" ht="15" hidden="false" customHeight="false" outlineLevel="0" collapsed="false">
      <c r="A50" s="0" t="n">
        <v>49</v>
      </c>
      <c r="B50" s="6" t="n">
        <v>5</v>
      </c>
      <c r="C50" s="7" t="n">
        <f aca="false">C49*(1-Annahmen!$B$13)+Annahmen!$B$15*(1+(B50-3)/2*Annahmen!$B$16)*(1+Annahmen!$B$25*(L50-Annahmen!$B$26))</f>
        <v>319.637261496461</v>
      </c>
      <c r="D50" s="7" t="n">
        <f aca="false">MIN(100,MAX(0,D49-Annahmen!$B$17*(B50-3)-Annahmen!$B$14*(D49-50)+Annahmen!$B$27*(L50-Annahmen!$B$26)))</f>
        <v>0</v>
      </c>
      <c r="E50" s="7" t="n">
        <f aca="false">E49+Annahmen!$B$12*(C50*Annahmen!$B$11*(D50/100)-E49)</f>
        <v>0.0184036740105617</v>
      </c>
      <c r="F50" s="7" t="n">
        <f aca="false">C50*Annahmen!$B$10*(D50/100)</f>
        <v>0</v>
      </c>
      <c r="G50" s="7" t="n">
        <f aca="false">E50*Annahmen!$B$9</f>
        <v>0.0368073480211233</v>
      </c>
      <c r="H50" s="7" t="n">
        <f aca="false">Annahmen!$B$18*Annahmen!$B$20*Annahmen!$B$19+Annahmen!$B$21+C50*Annahmen!$B$22</f>
        <v>90.1963726149646</v>
      </c>
      <c r="I50" s="7" t="n">
        <f aca="false">F50+G50-H50</f>
        <v>-90.1595652669435</v>
      </c>
      <c r="J50" s="7" t="n">
        <f aca="false">J49+I50</f>
        <v>-3445.70467517212</v>
      </c>
      <c r="K50" s="7" t="n">
        <f aca="false">AVERAGE(B45:B49)</f>
        <v>5</v>
      </c>
      <c r="L50" s="7" t="n">
        <f aca="false">ABS(B50-K50)</f>
        <v>0</v>
      </c>
    </row>
    <row r="51" customFormat="false" ht="15" hidden="false" customHeight="false" outlineLevel="0" collapsed="false">
      <c r="A51" s="0" t="n">
        <v>50</v>
      </c>
      <c r="B51" s="6" t="n">
        <v>5</v>
      </c>
      <c r="C51" s="7" t="n">
        <f aca="false">C50*(1-Annahmen!$B$13)+Annahmen!$B$15*(1+(B51-3)/2*Annahmen!$B$16)*(1+Annahmen!$B$25*(L51-Annahmen!$B$26))</f>
        <v>321.548143651568</v>
      </c>
      <c r="D51" s="7" t="n">
        <f aca="false">MIN(100,MAX(0,D50-Annahmen!$B$17*(B51-3)-Annahmen!$B$14*(D50-50)+Annahmen!$B$27*(L51-Annahmen!$B$26)))</f>
        <v>0</v>
      </c>
      <c r="E51" s="7" t="n">
        <f aca="false">E50+Annahmen!$B$12*(C51*Annahmen!$B$11*(D51/100)-E50)</f>
        <v>0.0156431229089774</v>
      </c>
      <c r="F51" s="7" t="n">
        <f aca="false">C51*Annahmen!$B$10*(D51/100)</f>
        <v>0</v>
      </c>
      <c r="G51" s="7" t="n">
        <f aca="false">E51*Annahmen!$B$9</f>
        <v>0.0312862458179548</v>
      </c>
      <c r="H51" s="7" t="n">
        <f aca="false">Annahmen!$B$18*Annahmen!$B$20*Annahmen!$B$19+Annahmen!$B$21+C51*Annahmen!$B$22</f>
        <v>90.2154814365157</v>
      </c>
      <c r="I51" s="7" t="n">
        <f aca="false">F51+G51-H51</f>
        <v>-90.1841951906977</v>
      </c>
      <c r="J51" s="7" t="n">
        <f aca="false">J50+I51</f>
        <v>-3535.88887036282</v>
      </c>
      <c r="K51" s="7" t="n">
        <f aca="false">AVERAGE(B46:B50)</f>
        <v>5</v>
      </c>
      <c r="L51" s="7" t="n">
        <f aca="false">ABS(B51-K51)</f>
        <v>0</v>
      </c>
    </row>
    <row r="52" customFormat="false" ht="15" hidden="false" customHeight="false" outlineLevel="0" collapsed="false">
      <c r="A52" s="0" t="n">
        <v>51</v>
      </c>
      <c r="B52" s="6" t="n">
        <v>5</v>
      </c>
      <c r="C52" s="7" t="n">
        <f aca="false">C51*(1-Annahmen!$B$13)+Annahmen!$B$15*(1+(B52-3)/2*Annahmen!$B$16)*(1+Annahmen!$B$25*(L52-Annahmen!$B$26))</f>
        <v>323.401699342021</v>
      </c>
      <c r="D52" s="7" t="n">
        <f aca="false">MIN(100,MAX(0,D51-Annahmen!$B$17*(B52-3)-Annahmen!$B$14*(D51-50)+Annahmen!$B$27*(L52-Annahmen!$B$26)))</f>
        <v>0</v>
      </c>
      <c r="E52" s="7" t="n">
        <f aca="false">E51+Annahmen!$B$12*(C52*Annahmen!$B$11*(D52/100)-E51)</f>
        <v>0.0132966544726308</v>
      </c>
      <c r="F52" s="7" t="n">
        <f aca="false">C52*Annahmen!$B$10*(D52/100)</f>
        <v>0</v>
      </c>
      <c r="G52" s="7" t="n">
        <f aca="false">E52*Annahmen!$B$9</f>
        <v>0.0265933089452616</v>
      </c>
      <c r="H52" s="7" t="n">
        <f aca="false">Annahmen!$B$18*Annahmen!$B$20*Annahmen!$B$19+Annahmen!$B$21+C52*Annahmen!$B$22</f>
        <v>90.2340169934202</v>
      </c>
      <c r="I52" s="7" t="n">
        <f aca="false">F52+G52-H52</f>
        <v>-90.207423684475</v>
      </c>
      <c r="J52" s="7" t="n">
        <f aca="false">J51+I52</f>
        <v>-3626.09629404729</v>
      </c>
      <c r="K52" s="7" t="n">
        <f aca="false">AVERAGE(B47:B51)</f>
        <v>5</v>
      </c>
      <c r="L52" s="7" t="n">
        <f aca="false">ABS(B52-K52)</f>
        <v>0</v>
      </c>
    </row>
    <row r="53" customFormat="false" ht="15" hidden="false" customHeight="false" outlineLevel="0" collapsed="false">
      <c r="A53" s="0" t="n">
        <v>52</v>
      </c>
      <c r="B53" s="6" t="n">
        <v>5</v>
      </c>
      <c r="C53" s="7" t="n">
        <f aca="false">C52*(1-Annahmen!$B$13)+Annahmen!$B$15*(1+(B53-3)/2*Annahmen!$B$16)*(1+Annahmen!$B$25*(L53-Annahmen!$B$26))</f>
        <v>325.19964836176</v>
      </c>
      <c r="D53" s="7" t="n">
        <f aca="false">MIN(100,MAX(0,D52-Annahmen!$B$17*(B53-3)-Annahmen!$B$14*(D52-50)+Annahmen!$B$27*(L53-Annahmen!$B$26)))</f>
        <v>0</v>
      </c>
      <c r="E53" s="7" t="n">
        <f aca="false">E52+Annahmen!$B$12*(C53*Annahmen!$B$11*(D53/100)-E52)</f>
        <v>0.0113021563017362</v>
      </c>
      <c r="F53" s="7" t="n">
        <f aca="false">C53*Annahmen!$B$10*(D53/100)</f>
        <v>0</v>
      </c>
      <c r="G53" s="7" t="n">
        <f aca="false">E53*Annahmen!$B$9</f>
        <v>0.0226043126034724</v>
      </c>
      <c r="H53" s="7" t="n">
        <f aca="false">Annahmen!$B$18*Annahmen!$B$20*Annahmen!$B$19+Annahmen!$B$21+C53*Annahmen!$B$22</f>
        <v>90.2519964836176</v>
      </c>
      <c r="I53" s="7" t="n">
        <f aca="false">F53+G53-H53</f>
        <v>-90.2293921710141</v>
      </c>
      <c r="J53" s="7" t="n">
        <f aca="false">J52+I53</f>
        <v>-3716.32568621831</v>
      </c>
      <c r="K53" s="7" t="n">
        <f aca="false">AVERAGE(B48:B52)</f>
        <v>5</v>
      </c>
      <c r="L53" s="7" t="n">
        <f aca="false">ABS(B53-K53)</f>
        <v>0</v>
      </c>
    </row>
    <row r="54" customFormat="false" ht="15" hidden="false" customHeight="false" outlineLevel="0" collapsed="false">
      <c r="A54" s="0" t="n">
        <v>53</v>
      </c>
      <c r="B54" s="6" t="n">
        <v>5</v>
      </c>
      <c r="C54" s="7" t="n">
        <f aca="false">C53*(1-Annahmen!$B$13)+Annahmen!$B$15*(1+(B54-3)/2*Annahmen!$B$16)*(1+Annahmen!$B$25*(L54-Annahmen!$B$26))</f>
        <v>326.943658910907</v>
      </c>
      <c r="D54" s="7" t="n">
        <f aca="false">MIN(100,MAX(0,D53-Annahmen!$B$17*(B54-3)-Annahmen!$B$14*(D53-50)+Annahmen!$B$27*(L54-Annahmen!$B$26)))</f>
        <v>0</v>
      </c>
      <c r="E54" s="7" t="n">
        <f aca="false">E53+Annahmen!$B$12*(C54*Annahmen!$B$11*(D54/100)-E53)</f>
        <v>0.00960683285647575</v>
      </c>
      <c r="F54" s="7" t="n">
        <f aca="false">C54*Annahmen!$B$10*(D54/100)</f>
        <v>0</v>
      </c>
      <c r="G54" s="7" t="n">
        <f aca="false">E54*Annahmen!$B$9</f>
        <v>0.0192136657129515</v>
      </c>
      <c r="H54" s="7" t="n">
        <f aca="false">Annahmen!$B$18*Annahmen!$B$20*Annahmen!$B$19+Annahmen!$B$21+C54*Annahmen!$B$22</f>
        <v>90.2694365891091</v>
      </c>
      <c r="I54" s="7" t="n">
        <f aca="false">F54+G54-H54</f>
        <v>-90.2502229233961</v>
      </c>
      <c r="J54" s="7" t="n">
        <f aca="false">J53+I54</f>
        <v>-3806.5759091417</v>
      </c>
      <c r="K54" s="7" t="n">
        <f aca="false">AVERAGE(B49:B53)</f>
        <v>5</v>
      </c>
      <c r="L54" s="7" t="n">
        <f aca="false">ABS(B54-K54)</f>
        <v>0</v>
      </c>
    </row>
    <row r="55" customFormat="false" ht="15" hidden="false" customHeight="false" outlineLevel="0" collapsed="false">
      <c r="A55" s="0" t="n">
        <v>54</v>
      </c>
      <c r="B55" s="6" t="n">
        <v>5</v>
      </c>
      <c r="C55" s="7" t="n">
        <f aca="false">C54*(1-Annahmen!$B$13)+Annahmen!$B$15*(1+(B55-3)/2*Annahmen!$B$16)*(1+Annahmen!$B$25*(L55-Annahmen!$B$26))</f>
        <v>328.63534914358</v>
      </c>
      <c r="D55" s="7" t="n">
        <f aca="false">MIN(100,MAX(0,D54-Annahmen!$B$17*(B55-3)-Annahmen!$B$14*(D54-50)+Annahmen!$B$27*(L55-Annahmen!$B$26)))</f>
        <v>0</v>
      </c>
      <c r="E55" s="7" t="n">
        <f aca="false">E54+Annahmen!$B$12*(C55*Annahmen!$B$11*(D55/100)-E54)</f>
        <v>0.00816580792800439</v>
      </c>
      <c r="F55" s="7" t="n">
        <f aca="false">C55*Annahmen!$B$10*(D55/100)</f>
        <v>0</v>
      </c>
      <c r="G55" s="7" t="n">
        <f aca="false">E55*Annahmen!$B$9</f>
        <v>0.0163316158560088</v>
      </c>
      <c r="H55" s="7" t="n">
        <f aca="false">Annahmen!$B$18*Annahmen!$B$20*Annahmen!$B$19+Annahmen!$B$21+C55*Annahmen!$B$22</f>
        <v>90.2863534914358</v>
      </c>
      <c r="I55" s="7" t="n">
        <f aca="false">F55+G55-H55</f>
        <v>-90.2700218755798</v>
      </c>
      <c r="J55" s="7" t="n">
        <f aca="false">J54+I55</f>
        <v>-3896.84593101728</v>
      </c>
      <c r="K55" s="7" t="n">
        <f aca="false">AVERAGE(B50:B54)</f>
        <v>5</v>
      </c>
      <c r="L55" s="7" t="n">
        <f aca="false">ABS(B55-K55)</f>
        <v>0</v>
      </c>
    </row>
    <row r="56" customFormat="false" ht="15" hidden="false" customHeight="false" outlineLevel="0" collapsed="false">
      <c r="A56" s="0" t="n">
        <v>55</v>
      </c>
      <c r="B56" s="6" t="n">
        <v>5</v>
      </c>
      <c r="C56" s="7" t="n">
        <f aca="false">C55*(1-Annahmen!$B$13)+Annahmen!$B$15*(1+(B56-3)/2*Annahmen!$B$16)*(1+Annahmen!$B$25*(L56-Annahmen!$B$26))</f>
        <v>330.276288669273</v>
      </c>
      <c r="D56" s="7" t="n">
        <f aca="false">MIN(100,MAX(0,D55-Annahmen!$B$17*(B56-3)-Annahmen!$B$14*(D55-50)+Annahmen!$B$27*(L56-Annahmen!$B$26)))</f>
        <v>0</v>
      </c>
      <c r="E56" s="7" t="n">
        <f aca="false">E55+Annahmen!$B$12*(C56*Annahmen!$B$11*(D56/100)-E55)</f>
        <v>0.00694093673880373</v>
      </c>
      <c r="F56" s="7" t="n">
        <f aca="false">C56*Annahmen!$B$10*(D56/100)</f>
        <v>0</v>
      </c>
      <c r="G56" s="7" t="n">
        <f aca="false">E56*Annahmen!$B$9</f>
        <v>0.0138818734776075</v>
      </c>
      <c r="H56" s="7" t="n">
        <f aca="false">Annahmen!$B$18*Annahmen!$B$20*Annahmen!$B$19+Annahmen!$B$21+C56*Annahmen!$B$22</f>
        <v>90.3027628866927</v>
      </c>
      <c r="I56" s="7" t="n">
        <f aca="false">F56+G56-H56</f>
        <v>-90.2888810132151</v>
      </c>
      <c r="J56" s="7" t="n">
        <f aca="false">J55+I56</f>
        <v>-3987.1348120305</v>
      </c>
      <c r="K56" s="7" t="n">
        <f aca="false">AVERAGE(B51:B55)</f>
        <v>5</v>
      </c>
      <c r="L56" s="7" t="n">
        <f aca="false">ABS(B56-K56)</f>
        <v>0</v>
      </c>
    </row>
    <row r="57" customFormat="false" ht="15" hidden="false" customHeight="false" outlineLevel="0" collapsed="false">
      <c r="A57" s="0" t="n">
        <v>56</v>
      </c>
      <c r="B57" s="6" t="n">
        <v>5</v>
      </c>
      <c r="C57" s="7" t="n">
        <f aca="false">C56*(1-Annahmen!$B$13)+Annahmen!$B$15*(1+(B57-3)/2*Annahmen!$B$16)*(1+Annahmen!$B$25*(L57-Annahmen!$B$26))</f>
        <v>331.868000009194</v>
      </c>
      <c r="D57" s="7" t="n">
        <f aca="false">MIN(100,MAX(0,D56-Annahmen!$B$17*(B57-3)-Annahmen!$B$14*(D56-50)+Annahmen!$B$27*(L57-Annahmen!$B$26)))</f>
        <v>0</v>
      </c>
      <c r="E57" s="7" t="n">
        <f aca="false">E56+Annahmen!$B$12*(C57*Annahmen!$B$11*(D57/100)-E56)</f>
        <v>0.00589979622798317</v>
      </c>
      <c r="F57" s="7" t="n">
        <f aca="false">C57*Annahmen!$B$10*(D57/100)</f>
        <v>0</v>
      </c>
      <c r="G57" s="7" t="n">
        <f aca="false">E57*Annahmen!$B$9</f>
        <v>0.0117995924559663</v>
      </c>
      <c r="H57" s="7" t="n">
        <f aca="false">Annahmen!$B$18*Annahmen!$B$20*Annahmen!$B$19+Annahmen!$B$21+C57*Annahmen!$B$22</f>
        <v>90.3186800000919</v>
      </c>
      <c r="I57" s="7" t="n">
        <f aca="false">F57+G57-H57</f>
        <v>-90.306880407636</v>
      </c>
      <c r="J57" s="7" t="n">
        <f aca="false">J56+I57</f>
        <v>-4077.44169243813</v>
      </c>
      <c r="K57" s="7" t="n">
        <f aca="false">AVERAGE(B52:B56)</f>
        <v>5</v>
      </c>
      <c r="L57" s="7" t="n">
        <f aca="false">ABS(B57-K57)</f>
        <v>0</v>
      </c>
    </row>
    <row r="58" customFormat="false" ht="15" hidden="false" customHeight="false" outlineLevel="0" collapsed="false">
      <c r="A58" s="0" t="n">
        <v>57</v>
      </c>
      <c r="B58" s="6" t="n">
        <v>5</v>
      </c>
      <c r="C58" s="7" t="n">
        <f aca="false">C57*(1-Annahmen!$B$13)+Annahmen!$B$15*(1+(B58-3)/2*Annahmen!$B$16)*(1+Annahmen!$B$25*(L58-Annahmen!$B$26))</f>
        <v>333.411960008918</v>
      </c>
      <c r="D58" s="7" t="n">
        <f aca="false">MIN(100,MAX(0,D57-Annahmen!$B$17*(B58-3)-Annahmen!$B$14*(D57-50)+Annahmen!$B$27*(L58-Annahmen!$B$26)))</f>
        <v>0</v>
      </c>
      <c r="E58" s="7" t="n">
        <f aca="false">E57+Annahmen!$B$12*(C58*Annahmen!$B$11*(D58/100)-E57)</f>
        <v>0.0050148267937857</v>
      </c>
      <c r="F58" s="7" t="n">
        <f aca="false">C58*Annahmen!$B$10*(D58/100)</f>
        <v>0</v>
      </c>
      <c r="G58" s="7" t="n">
        <f aca="false">E58*Annahmen!$B$9</f>
        <v>0.0100296535875714</v>
      </c>
      <c r="H58" s="7" t="n">
        <f aca="false">Annahmen!$B$18*Annahmen!$B$20*Annahmen!$B$19+Annahmen!$B$21+C58*Annahmen!$B$22</f>
        <v>90.3341196000892</v>
      </c>
      <c r="I58" s="7" t="n">
        <f aca="false">F58+G58-H58</f>
        <v>-90.3240899465016</v>
      </c>
      <c r="J58" s="7" t="n">
        <f aca="false">J57+I58</f>
        <v>-4167.76578238464</v>
      </c>
      <c r="K58" s="7" t="n">
        <f aca="false">AVERAGE(B53:B57)</f>
        <v>5</v>
      </c>
      <c r="L58" s="7" t="n">
        <f aca="false">ABS(B58-K58)</f>
        <v>0</v>
      </c>
    </row>
    <row r="59" customFormat="false" ht="15" hidden="false" customHeight="false" outlineLevel="0" collapsed="false">
      <c r="A59" s="0" t="n">
        <v>58</v>
      </c>
      <c r="B59" s="6" t="n">
        <v>5</v>
      </c>
      <c r="C59" s="7" t="n">
        <f aca="false">C58*(1-Annahmen!$B$13)+Annahmen!$B$15*(1+(B59-3)/2*Annahmen!$B$16)*(1+Annahmen!$B$25*(L59-Annahmen!$B$26))</f>
        <v>334.909601208651</v>
      </c>
      <c r="D59" s="7" t="n">
        <f aca="false">MIN(100,MAX(0,D58-Annahmen!$B$17*(B59-3)-Annahmen!$B$14*(D58-50)+Annahmen!$B$27*(L59-Annahmen!$B$26)))</f>
        <v>0</v>
      </c>
      <c r="E59" s="7" t="n">
        <f aca="false">E58+Annahmen!$B$12*(C59*Annahmen!$B$11*(D59/100)-E58)</f>
        <v>0.00426260277471784</v>
      </c>
      <c r="F59" s="7" t="n">
        <f aca="false">C59*Annahmen!$B$10*(D59/100)</f>
        <v>0</v>
      </c>
      <c r="G59" s="7" t="n">
        <f aca="false">E59*Annahmen!$B$9</f>
        <v>0.00852520554943568</v>
      </c>
      <c r="H59" s="7" t="n">
        <f aca="false">Annahmen!$B$18*Annahmen!$B$20*Annahmen!$B$19+Annahmen!$B$21+C59*Annahmen!$B$22</f>
        <v>90.3490960120865</v>
      </c>
      <c r="I59" s="7" t="n">
        <f aca="false">F59+G59-H59</f>
        <v>-90.3405708065371</v>
      </c>
      <c r="J59" s="7" t="n">
        <f aca="false">J58+I59</f>
        <v>-4258.10635319117</v>
      </c>
      <c r="K59" s="7" t="n">
        <f aca="false">AVERAGE(B54:B58)</f>
        <v>5</v>
      </c>
      <c r="L59" s="7" t="n">
        <f aca="false">ABS(B59-K59)</f>
        <v>0</v>
      </c>
    </row>
    <row r="60" customFormat="false" ht="15" hidden="false" customHeight="false" outlineLevel="0" collapsed="false">
      <c r="A60" s="0" t="n">
        <v>59</v>
      </c>
      <c r="B60" s="6" t="n">
        <v>5</v>
      </c>
      <c r="C60" s="7" t="n">
        <f aca="false">C59*(1-Annahmen!$B$13)+Annahmen!$B$15*(1+(B60-3)/2*Annahmen!$B$16)*(1+Annahmen!$B$25*(L60-Annahmen!$B$26))</f>
        <v>336.362313172391</v>
      </c>
      <c r="D60" s="7" t="n">
        <f aca="false">MIN(100,MAX(0,D59-Annahmen!$B$17*(B60-3)-Annahmen!$B$14*(D59-50)+Annahmen!$B$27*(L60-Annahmen!$B$26)))</f>
        <v>0</v>
      </c>
      <c r="E60" s="7" t="n">
        <f aca="false">E59+Annahmen!$B$12*(C60*Annahmen!$B$11*(D60/100)-E59)</f>
        <v>0.00362321235851017</v>
      </c>
      <c r="F60" s="7" t="n">
        <f aca="false">C60*Annahmen!$B$10*(D60/100)</f>
        <v>0</v>
      </c>
      <c r="G60" s="7" t="n">
        <f aca="false">E60*Annahmen!$B$9</f>
        <v>0.00724642471702033</v>
      </c>
      <c r="H60" s="7" t="n">
        <f aca="false">Annahmen!$B$18*Annahmen!$B$20*Annahmen!$B$19+Annahmen!$B$21+C60*Annahmen!$B$22</f>
        <v>90.3636231317239</v>
      </c>
      <c r="I60" s="7" t="n">
        <f aca="false">F60+G60-H60</f>
        <v>-90.3563767070069</v>
      </c>
      <c r="J60" s="7" t="n">
        <f aca="false">J59+I60</f>
        <v>-4348.46272989818</v>
      </c>
      <c r="K60" s="7" t="n">
        <f aca="false">AVERAGE(B55:B59)</f>
        <v>5</v>
      </c>
      <c r="L60" s="7" t="n">
        <f aca="false">ABS(B60-K60)</f>
        <v>0</v>
      </c>
    </row>
    <row r="61" customFormat="false" ht="15" hidden="false" customHeight="false" outlineLevel="0" collapsed="false">
      <c r="A61" s="0" t="n">
        <v>60</v>
      </c>
      <c r="B61" s="6" t="n">
        <v>5</v>
      </c>
      <c r="C61" s="7" t="n">
        <f aca="false">C60*(1-Annahmen!$B$13)+Annahmen!$B$15*(1+(B61-3)/2*Annahmen!$B$16)*(1+Annahmen!$B$25*(L61-Annahmen!$B$26))</f>
        <v>337.77144377722</v>
      </c>
      <c r="D61" s="7" t="n">
        <f aca="false">MIN(100,MAX(0,D60-Annahmen!$B$17*(B61-3)-Annahmen!$B$14*(D60-50)+Annahmen!$B$27*(L61-Annahmen!$B$26)))</f>
        <v>0</v>
      </c>
      <c r="E61" s="7" t="n">
        <f aca="false">E60+Annahmen!$B$12*(C61*Annahmen!$B$11*(D61/100)-E60)</f>
        <v>0.00307973050473364</v>
      </c>
      <c r="F61" s="7" t="n">
        <f aca="false">C61*Annahmen!$B$10*(D61/100)</f>
        <v>0</v>
      </c>
      <c r="G61" s="7" t="n">
        <f aca="false">E61*Annahmen!$B$9</f>
        <v>0.00615946100946728</v>
      </c>
      <c r="H61" s="7" t="n">
        <f aca="false">Annahmen!$B$18*Annahmen!$B$20*Annahmen!$B$19+Annahmen!$B$21+C61*Annahmen!$B$22</f>
        <v>90.3777144377722</v>
      </c>
      <c r="I61" s="7" t="n">
        <f aca="false">F61+G61-H61</f>
        <v>-90.3715549767627</v>
      </c>
      <c r="J61" s="7" t="n">
        <f aca="false">J60+I61</f>
        <v>-4438.83428487494</v>
      </c>
      <c r="K61" s="7" t="n">
        <f aca="false">AVERAGE(B56:B60)</f>
        <v>5</v>
      </c>
      <c r="L61" s="7" t="n">
        <f aca="false">ABS(B61-K61)</f>
        <v>0</v>
      </c>
    </row>
    <row r="62" customFormat="false" ht="15" hidden="false" customHeight="false" outlineLevel="0" collapsed="false">
      <c r="A62" s="0" t="n">
        <v>61</v>
      </c>
      <c r="B62" s="6" t="n">
        <v>5</v>
      </c>
      <c r="C62" s="7" t="n">
        <f aca="false">C61*(1-Annahmen!$B$13)+Annahmen!$B$15*(1+(B62-3)/2*Annahmen!$B$16)*(1+Annahmen!$B$25*(L62-Annahmen!$B$26))</f>
        <v>339.138300463903</v>
      </c>
      <c r="D62" s="7" t="n">
        <f aca="false">MIN(100,MAX(0,D61-Annahmen!$B$17*(B62-3)-Annahmen!$B$14*(D61-50)+Annahmen!$B$27*(L62-Annahmen!$B$26)))</f>
        <v>0</v>
      </c>
      <c r="E62" s="7" t="n">
        <f aca="false">E61+Annahmen!$B$12*(C62*Annahmen!$B$11*(D62/100)-E61)</f>
        <v>0.00261777092902359</v>
      </c>
      <c r="F62" s="7" t="n">
        <f aca="false">C62*Annahmen!$B$10*(D62/100)</f>
        <v>0</v>
      </c>
      <c r="G62" s="7" t="n">
        <f aca="false">E62*Annahmen!$B$9</f>
        <v>0.00523554185804719</v>
      </c>
      <c r="H62" s="7" t="n">
        <f aca="false">Annahmen!$B$18*Annahmen!$B$20*Annahmen!$B$19+Annahmen!$B$21+C62*Annahmen!$B$22</f>
        <v>90.391383004639</v>
      </c>
      <c r="I62" s="7" t="n">
        <f aca="false">F62+G62-H62</f>
        <v>-90.386147462781</v>
      </c>
      <c r="J62" s="7" t="n">
        <f aca="false">J61+I62</f>
        <v>-4529.22043233772</v>
      </c>
      <c r="K62" s="7" t="n">
        <f aca="false">AVERAGE(B57:B61)</f>
        <v>5</v>
      </c>
      <c r="L62" s="7" t="n">
        <f aca="false">ABS(B62-K62)</f>
        <v>0</v>
      </c>
    </row>
    <row r="63" customFormat="false" ht="15" hidden="false" customHeight="false" outlineLevel="0" collapsed="false">
      <c r="A63" s="0" t="n">
        <v>62</v>
      </c>
      <c r="B63" s="6" t="n">
        <v>5</v>
      </c>
      <c r="C63" s="7" t="n">
        <f aca="false">C62*(1-Annahmen!$B$13)+Annahmen!$B$15*(1+(B63-3)/2*Annahmen!$B$16)*(1+Annahmen!$B$25*(L63-Annahmen!$B$26))</f>
        <v>340.464151449986</v>
      </c>
      <c r="D63" s="7" t="n">
        <f aca="false">MIN(100,MAX(0,D62-Annahmen!$B$17*(B63-3)-Annahmen!$B$14*(D62-50)+Annahmen!$B$27*(L63-Annahmen!$B$26)))</f>
        <v>0</v>
      </c>
      <c r="E63" s="7" t="n">
        <f aca="false">E62+Annahmen!$B$12*(C63*Annahmen!$B$11*(D63/100)-E62)</f>
        <v>0.00222510528967006</v>
      </c>
      <c r="F63" s="7" t="n">
        <f aca="false">C63*Annahmen!$B$10*(D63/100)</f>
        <v>0</v>
      </c>
      <c r="G63" s="7" t="n">
        <f aca="false">E63*Annahmen!$B$9</f>
        <v>0.00445021057934011</v>
      </c>
      <c r="H63" s="7" t="n">
        <f aca="false">Annahmen!$B$18*Annahmen!$B$20*Annahmen!$B$19+Annahmen!$B$21+C63*Annahmen!$B$22</f>
        <v>90.4046415144999</v>
      </c>
      <c r="I63" s="7" t="n">
        <f aca="false">F63+G63-H63</f>
        <v>-90.4001913039205</v>
      </c>
      <c r="J63" s="7" t="n">
        <f aca="false">J62+I63</f>
        <v>-4619.62062364164</v>
      </c>
      <c r="K63" s="7" t="n">
        <f aca="false">AVERAGE(B58:B62)</f>
        <v>5</v>
      </c>
      <c r="L63" s="7" t="n">
        <f aca="false">ABS(B63-K63)</f>
        <v>0</v>
      </c>
    </row>
    <row r="64" customFormat="false" ht="15" hidden="false" customHeight="false" outlineLevel="0" collapsed="false">
      <c r="A64" s="0" t="n">
        <v>63</v>
      </c>
      <c r="B64" s="6" t="n">
        <v>5</v>
      </c>
      <c r="C64" s="7" t="n">
        <f aca="false">C63*(1-Annahmen!$B$13)+Annahmen!$B$15*(1+(B64-3)/2*Annahmen!$B$16)*(1+Annahmen!$B$25*(L64-Annahmen!$B$26))</f>
        <v>341.750226906486</v>
      </c>
      <c r="D64" s="7" t="n">
        <f aca="false">MIN(100,MAX(0,D63-Annahmen!$B$17*(B64-3)-Annahmen!$B$14*(D63-50)+Annahmen!$B$27*(L64-Annahmen!$B$26)))</f>
        <v>0</v>
      </c>
      <c r="E64" s="7" t="n">
        <f aca="false">E63+Annahmen!$B$12*(C64*Annahmen!$B$11*(D64/100)-E63)</f>
        <v>0.00189133949621955</v>
      </c>
      <c r="F64" s="7" t="n">
        <f aca="false">C64*Annahmen!$B$10*(D64/100)</f>
        <v>0</v>
      </c>
      <c r="G64" s="7" t="n">
        <f aca="false">E64*Annahmen!$B$9</f>
        <v>0.00378267899243909</v>
      </c>
      <c r="H64" s="7" t="n">
        <f aca="false">Annahmen!$B$18*Annahmen!$B$20*Annahmen!$B$19+Annahmen!$B$21+C64*Annahmen!$B$22</f>
        <v>90.4175022690649</v>
      </c>
      <c r="I64" s="7" t="n">
        <f aca="false">F64+G64-H64</f>
        <v>-90.4137195900724</v>
      </c>
      <c r="J64" s="7" t="n">
        <f aca="false">J63+I64</f>
        <v>-4710.03434323172</v>
      </c>
      <c r="K64" s="7" t="n">
        <f aca="false">AVERAGE(B59:B63)</f>
        <v>5</v>
      </c>
      <c r="L64" s="7" t="n">
        <f aca="false">ABS(B64-K64)</f>
        <v>0</v>
      </c>
    </row>
    <row r="65" customFormat="false" ht="15" hidden="false" customHeight="false" outlineLevel="0" collapsed="false">
      <c r="A65" s="0" t="n">
        <v>64</v>
      </c>
      <c r="B65" s="6" t="n">
        <v>5</v>
      </c>
      <c r="C65" s="7" t="n">
        <f aca="false">C64*(1-Annahmen!$B$13)+Annahmen!$B$15*(1+(B65-3)/2*Annahmen!$B$16)*(1+Annahmen!$B$25*(L65-Annahmen!$B$26))</f>
        <v>342.997720099292</v>
      </c>
      <c r="D65" s="7" t="n">
        <f aca="false">MIN(100,MAX(0,D64-Annahmen!$B$17*(B65-3)-Annahmen!$B$14*(D64-50)+Annahmen!$B$27*(L65-Annahmen!$B$26)))</f>
        <v>0</v>
      </c>
      <c r="E65" s="7" t="n">
        <f aca="false">E64+Annahmen!$B$12*(C65*Annahmen!$B$11*(D65/100)-E64)</f>
        <v>0.00160763857178661</v>
      </c>
      <c r="F65" s="7" t="n">
        <f aca="false">C65*Annahmen!$B$10*(D65/100)</f>
        <v>0</v>
      </c>
      <c r="G65" s="7" t="n">
        <f aca="false">E65*Annahmen!$B$9</f>
        <v>0.00321527714357323</v>
      </c>
      <c r="H65" s="7" t="n">
        <f aca="false">Annahmen!$B$18*Annahmen!$B$20*Annahmen!$B$19+Annahmen!$B$21+C65*Annahmen!$B$22</f>
        <v>90.4299772009929</v>
      </c>
      <c r="I65" s="7" t="n">
        <f aca="false">F65+G65-H65</f>
        <v>-90.4267619238494</v>
      </c>
      <c r="J65" s="7" t="n">
        <f aca="false">J64+I65</f>
        <v>-4800.46110515557</v>
      </c>
      <c r="K65" s="7" t="n">
        <f aca="false">AVERAGE(B60:B64)</f>
        <v>5</v>
      </c>
      <c r="L65" s="7" t="n">
        <f aca="false">ABS(B65-K65)</f>
        <v>0</v>
      </c>
    </row>
    <row r="66" customFormat="false" ht="15" hidden="false" customHeight="false" outlineLevel="0" collapsed="false">
      <c r="A66" s="0" t="n">
        <v>65</v>
      </c>
      <c r="B66" s="6" t="n">
        <v>5</v>
      </c>
      <c r="C66" s="7" t="n">
        <f aca="false">C65*(1-Annahmen!$B$13)+Annahmen!$B$15*(1+(B66-3)/2*Annahmen!$B$16)*(1+Annahmen!$B$25*(L66-Annahmen!$B$26))</f>
        <v>344.207788496313</v>
      </c>
      <c r="D66" s="7" t="n">
        <f aca="false">MIN(100,MAX(0,D65-Annahmen!$B$17*(B66-3)-Annahmen!$B$14*(D65-50)+Annahmen!$B$27*(L66-Annahmen!$B$26)))</f>
        <v>0</v>
      </c>
      <c r="E66" s="7" t="n">
        <f aca="false">E65+Annahmen!$B$12*(C66*Annahmen!$B$11*(D66/100)-E65)</f>
        <v>0.00136649278601862</v>
      </c>
      <c r="F66" s="7" t="n">
        <f aca="false">C66*Annahmen!$B$10*(D66/100)</f>
        <v>0</v>
      </c>
      <c r="G66" s="7" t="n">
        <f aca="false">E66*Annahmen!$B$9</f>
        <v>0.00273298557203725</v>
      </c>
      <c r="H66" s="7" t="n">
        <f aca="false">Annahmen!$B$18*Annahmen!$B$20*Annahmen!$B$19+Annahmen!$B$21+C66*Annahmen!$B$22</f>
        <v>90.4420778849631</v>
      </c>
      <c r="I66" s="7" t="n">
        <f aca="false">F66+G66-H66</f>
        <v>-90.4393448993911</v>
      </c>
      <c r="J66" s="7" t="n">
        <f aca="false">J65+I66</f>
        <v>-4890.90045005496</v>
      </c>
      <c r="K66" s="7" t="n">
        <f aca="false">AVERAGE(B61:B65)</f>
        <v>5</v>
      </c>
      <c r="L66" s="7" t="n">
        <f aca="false">ABS(B66-K66)</f>
        <v>0</v>
      </c>
    </row>
    <row r="67" customFormat="false" ht="15" hidden="false" customHeight="false" outlineLevel="0" collapsed="false">
      <c r="A67" s="0" t="n">
        <v>66</v>
      </c>
      <c r="B67" s="6" t="n">
        <v>5</v>
      </c>
      <c r="C67" s="7" t="n">
        <f aca="false">C66*(1-Annahmen!$B$13)+Annahmen!$B$15*(1+(B67-3)/2*Annahmen!$B$16)*(1+Annahmen!$B$25*(L67-Annahmen!$B$26))</f>
        <v>345.381554841424</v>
      </c>
      <c r="D67" s="7" t="n">
        <f aca="false">MIN(100,MAX(0,D66-Annahmen!$B$17*(B67-3)-Annahmen!$B$14*(D66-50)+Annahmen!$B$27*(L67-Annahmen!$B$26)))</f>
        <v>0</v>
      </c>
      <c r="E67" s="7" t="n">
        <f aca="false">E66+Annahmen!$B$12*(C67*Annahmen!$B$11*(D67/100)-E66)</f>
        <v>0.00116151886811583</v>
      </c>
      <c r="F67" s="7" t="n">
        <f aca="false">C67*Annahmen!$B$10*(D67/100)</f>
        <v>0</v>
      </c>
      <c r="G67" s="7" t="n">
        <f aca="false">E67*Annahmen!$B$9</f>
        <v>0.00232303773623166</v>
      </c>
      <c r="H67" s="7" t="n">
        <f aca="false">Annahmen!$B$18*Annahmen!$B$20*Annahmen!$B$19+Annahmen!$B$21+C67*Annahmen!$B$22</f>
        <v>90.4538155484142</v>
      </c>
      <c r="I67" s="7" t="n">
        <f aca="false">F67+G67-H67</f>
        <v>-90.451492510678</v>
      </c>
      <c r="J67" s="7" t="n">
        <f aca="false">J66+I67</f>
        <v>-4981.35194256563</v>
      </c>
      <c r="K67" s="7" t="n">
        <f aca="false">AVERAGE(B62:B66)</f>
        <v>5</v>
      </c>
      <c r="L67" s="7" t="n">
        <f aca="false">ABS(B67-K67)</f>
        <v>0</v>
      </c>
    </row>
    <row r="68" customFormat="false" ht="15" hidden="false" customHeight="false" outlineLevel="0" collapsed="false">
      <c r="A68" s="0" t="n">
        <v>67</v>
      </c>
      <c r="B68" s="6" t="n">
        <v>5</v>
      </c>
      <c r="C68" s="7" t="n">
        <f aca="false">C67*(1-Annahmen!$B$13)+Annahmen!$B$15*(1+(B68-3)/2*Annahmen!$B$16)*(1+Annahmen!$B$25*(L68-Annahmen!$B$26))</f>
        <v>346.520108196181</v>
      </c>
      <c r="D68" s="7" t="n">
        <f aca="false">MIN(100,MAX(0,D67-Annahmen!$B$17*(B68-3)-Annahmen!$B$14*(D67-50)+Annahmen!$B$27*(L68-Annahmen!$B$26)))</f>
        <v>0</v>
      </c>
      <c r="E68" s="7" t="n">
        <f aca="false">E67+Annahmen!$B$12*(C68*Annahmen!$B$11*(D68/100)-E67)</f>
        <v>0.000987291037898455</v>
      </c>
      <c r="F68" s="7" t="n">
        <f aca="false">C68*Annahmen!$B$10*(D68/100)</f>
        <v>0</v>
      </c>
      <c r="G68" s="7" t="n">
        <f aca="false">E68*Annahmen!$B$9</f>
        <v>0.00197458207579691</v>
      </c>
      <c r="H68" s="7" t="n">
        <f aca="false">Annahmen!$B$18*Annahmen!$B$20*Annahmen!$B$19+Annahmen!$B$21+C68*Annahmen!$B$22</f>
        <v>90.4652010819618</v>
      </c>
      <c r="I68" s="7" t="n">
        <f aca="false">F68+G68-H68</f>
        <v>-90.463226499886</v>
      </c>
      <c r="J68" s="7" t="n">
        <f aca="false">J67+I68</f>
        <v>-5071.81516906552</v>
      </c>
      <c r="K68" s="7" t="n">
        <f aca="false">AVERAGE(B63:B67)</f>
        <v>5</v>
      </c>
      <c r="L68" s="7" t="n">
        <f aca="false">ABS(B68-K68)</f>
        <v>0</v>
      </c>
    </row>
    <row r="69" customFormat="false" ht="15" hidden="false" customHeight="false" outlineLevel="0" collapsed="false">
      <c r="A69" s="0" t="n">
        <v>68</v>
      </c>
      <c r="B69" s="6" t="n">
        <v>5</v>
      </c>
      <c r="C69" s="7" t="n">
        <f aca="false">C68*(1-Annahmen!$B$13)+Annahmen!$B$15*(1+(B69-3)/2*Annahmen!$B$16)*(1+Annahmen!$B$25*(L69-Annahmen!$B$26))</f>
        <v>347.624504950295</v>
      </c>
      <c r="D69" s="7" t="n">
        <f aca="false">MIN(100,MAX(0,D68-Annahmen!$B$17*(B69-3)-Annahmen!$B$14*(D68-50)+Annahmen!$B$27*(L69-Annahmen!$B$26)))</f>
        <v>0</v>
      </c>
      <c r="E69" s="7" t="n">
        <f aca="false">E68+Annahmen!$B$12*(C69*Annahmen!$B$11*(D69/100)-E68)</f>
        <v>0.000839197382213687</v>
      </c>
      <c r="F69" s="7" t="n">
        <f aca="false">C69*Annahmen!$B$10*(D69/100)</f>
        <v>0</v>
      </c>
      <c r="G69" s="7" t="n">
        <f aca="false">E69*Annahmen!$B$9</f>
        <v>0.00167839476442737</v>
      </c>
      <c r="H69" s="7" t="n">
        <f aca="false">Annahmen!$B$18*Annahmen!$B$20*Annahmen!$B$19+Annahmen!$B$21+C69*Annahmen!$B$22</f>
        <v>90.476245049503</v>
      </c>
      <c r="I69" s="7" t="n">
        <f aca="false">F69+G69-H69</f>
        <v>-90.4745666547385</v>
      </c>
      <c r="J69" s="7" t="n">
        <f aca="false">J68+I69</f>
        <v>-5162.28973572026</v>
      </c>
      <c r="K69" s="7" t="n">
        <f aca="false">AVERAGE(B64:B68)</f>
        <v>5</v>
      </c>
      <c r="L69" s="7" t="n">
        <f aca="false">ABS(B69-K69)</f>
        <v>0</v>
      </c>
    </row>
    <row r="70" customFormat="false" ht="15" hidden="false" customHeight="false" outlineLevel="0" collapsed="false">
      <c r="A70" s="0" t="n">
        <v>69</v>
      </c>
      <c r="B70" s="6" t="n">
        <v>5</v>
      </c>
      <c r="C70" s="7" t="n">
        <f aca="false">C69*(1-Annahmen!$B$13)+Annahmen!$B$15*(1+(B70-3)/2*Annahmen!$B$16)*(1+Annahmen!$B$25*(L70-Annahmen!$B$26))</f>
        <v>348.695769801787</v>
      </c>
      <c r="D70" s="7" t="n">
        <f aca="false">MIN(100,MAX(0,D69-Annahmen!$B$17*(B70-3)-Annahmen!$B$14*(D69-50)+Annahmen!$B$27*(L70-Annahmen!$B$26)))</f>
        <v>0</v>
      </c>
      <c r="E70" s="7" t="n">
        <f aca="false">E69+Annahmen!$B$12*(C70*Annahmen!$B$11*(D70/100)-E69)</f>
        <v>0.000713317774881634</v>
      </c>
      <c r="F70" s="7" t="n">
        <f aca="false">C70*Annahmen!$B$10*(D70/100)</f>
        <v>0</v>
      </c>
      <c r="G70" s="7" t="n">
        <f aca="false">E70*Annahmen!$B$9</f>
        <v>0.00142663554976327</v>
      </c>
      <c r="H70" s="7" t="n">
        <f aca="false">Annahmen!$B$18*Annahmen!$B$20*Annahmen!$B$19+Annahmen!$B$21+C70*Annahmen!$B$22</f>
        <v>90.4869576980179</v>
      </c>
      <c r="I70" s="7" t="n">
        <f aca="false">F70+G70-H70</f>
        <v>-90.4855310624681</v>
      </c>
      <c r="J70" s="7" t="n">
        <f aca="false">J69+I70</f>
        <v>-5252.77526678273</v>
      </c>
      <c r="K70" s="7" t="n">
        <f aca="false">AVERAGE(B65:B69)</f>
        <v>5</v>
      </c>
      <c r="L70" s="7" t="n">
        <f aca="false">ABS(B70-K70)</f>
        <v>0</v>
      </c>
    </row>
    <row r="71" customFormat="false" ht="15" hidden="false" customHeight="false" outlineLevel="0" collapsed="false">
      <c r="A71" s="0" t="n">
        <v>70</v>
      </c>
      <c r="B71" s="6" t="n">
        <v>5</v>
      </c>
      <c r="C71" s="7" t="n">
        <f aca="false">C70*(1-Annahmen!$B$13)+Annahmen!$B$15*(1+(B71-3)/2*Annahmen!$B$16)*(1+Annahmen!$B$25*(L71-Annahmen!$B$26))</f>
        <v>349.734896707733</v>
      </c>
      <c r="D71" s="7" t="n">
        <f aca="false">MIN(100,MAX(0,D70-Annahmen!$B$17*(B71-3)-Annahmen!$B$14*(D70-50)+Annahmen!$B$27*(L71-Annahmen!$B$26)))</f>
        <v>0</v>
      </c>
      <c r="E71" s="7" t="n">
        <f aca="false">E70+Annahmen!$B$12*(C71*Annahmen!$B$11*(D71/100)-E70)</f>
        <v>0.000606320108649389</v>
      </c>
      <c r="F71" s="7" t="n">
        <f aca="false">C71*Annahmen!$B$10*(D71/100)</f>
        <v>0</v>
      </c>
      <c r="G71" s="7" t="n">
        <f aca="false">E71*Annahmen!$B$9</f>
        <v>0.00121264021729878</v>
      </c>
      <c r="H71" s="7" t="n">
        <f aca="false">Annahmen!$B$18*Annahmen!$B$20*Annahmen!$B$19+Annahmen!$B$21+C71*Annahmen!$B$22</f>
        <v>90.4973489670773</v>
      </c>
      <c r="I71" s="7" t="n">
        <f aca="false">F71+G71-H71</f>
        <v>-90.49613632686</v>
      </c>
      <c r="J71" s="7" t="n">
        <f aca="false">J70+I71</f>
        <v>-5343.27140310959</v>
      </c>
      <c r="K71" s="7" t="n">
        <f aca="false">AVERAGE(B66:B70)</f>
        <v>5</v>
      </c>
      <c r="L71" s="7" t="n">
        <f aca="false">ABS(B71-K71)</f>
        <v>0</v>
      </c>
    </row>
    <row r="72" customFormat="false" ht="15" hidden="false" customHeight="false" outlineLevel="0" collapsed="false">
      <c r="A72" s="0" t="n">
        <v>71</v>
      </c>
      <c r="B72" s="6" t="n">
        <v>5</v>
      </c>
      <c r="C72" s="7" t="n">
        <f aca="false">C71*(1-Annahmen!$B$13)+Annahmen!$B$15*(1+(B72-3)/2*Annahmen!$B$16)*(1+Annahmen!$B$25*(L72-Annahmen!$B$26))</f>
        <v>350.742849806501</v>
      </c>
      <c r="D72" s="7" t="n">
        <f aca="false">MIN(100,MAX(0,D71-Annahmen!$B$17*(B72-3)-Annahmen!$B$14*(D71-50)+Annahmen!$B$27*(L72-Annahmen!$B$26)))</f>
        <v>0</v>
      </c>
      <c r="E72" s="7" t="n">
        <f aca="false">E71+Annahmen!$B$12*(C72*Annahmen!$B$11*(D72/100)-E71)</f>
        <v>0.00051537209235198</v>
      </c>
      <c r="F72" s="7" t="n">
        <f aca="false">C72*Annahmen!$B$10*(D72/100)</f>
        <v>0</v>
      </c>
      <c r="G72" s="7" t="n">
        <f aca="false">E72*Annahmen!$B$9</f>
        <v>0.00103074418470396</v>
      </c>
      <c r="H72" s="7" t="n">
        <f aca="false">Annahmen!$B$18*Annahmen!$B$20*Annahmen!$B$19+Annahmen!$B$21+C72*Annahmen!$B$22</f>
        <v>90.507428498065</v>
      </c>
      <c r="I72" s="7" t="n">
        <f aca="false">F72+G72-H72</f>
        <v>-90.5063977538803</v>
      </c>
      <c r="J72" s="7" t="n">
        <f aca="false">J71+I72</f>
        <v>-5433.77780086347</v>
      </c>
      <c r="K72" s="7" t="n">
        <f aca="false">AVERAGE(B67:B71)</f>
        <v>5</v>
      </c>
      <c r="L72" s="7" t="n">
        <f aca="false">ABS(B72-K72)</f>
        <v>0</v>
      </c>
    </row>
    <row r="73" customFormat="false" ht="15" hidden="false" customHeight="false" outlineLevel="0" collapsed="false">
      <c r="A73" s="0" t="n">
        <v>72</v>
      </c>
      <c r="B73" s="6" t="n">
        <v>5</v>
      </c>
      <c r="C73" s="7" t="n">
        <f aca="false">C72*(1-Annahmen!$B$13)+Annahmen!$B$15*(1+(B73-3)/2*Annahmen!$B$16)*(1+Annahmen!$B$25*(L73-Annahmen!$B$26))</f>
        <v>351.720564312306</v>
      </c>
      <c r="D73" s="7" t="n">
        <f aca="false">MIN(100,MAX(0,D72-Annahmen!$B$17*(B73-3)-Annahmen!$B$14*(D72-50)+Annahmen!$B$27*(L73-Annahmen!$B$26)))</f>
        <v>0</v>
      </c>
      <c r="E73" s="7" t="n">
        <f aca="false">E72+Annahmen!$B$12*(C73*Annahmen!$B$11*(D73/100)-E72)</f>
        <v>0.000438066278499183</v>
      </c>
      <c r="F73" s="7" t="n">
        <f aca="false">C73*Annahmen!$B$10*(D73/100)</f>
        <v>0</v>
      </c>
      <c r="G73" s="7" t="n">
        <f aca="false">E73*Annahmen!$B$9</f>
        <v>0.000876132556998366</v>
      </c>
      <c r="H73" s="7" t="n">
        <f aca="false">Annahmen!$B$18*Annahmen!$B$20*Annahmen!$B$19+Annahmen!$B$21+C73*Annahmen!$B$22</f>
        <v>90.5172056431231</v>
      </c>
      <c r="I73" s="7" t="n">
        <f aca="false">F73+G73-H73</f>
        <v>-90.5163295105661</v>
      </c>
      <c r="J73" s="7" t="n">
        <f aca="false">J72+I73</f>
        <v>-5524.29413037403</v>
      </c>
      <c r="K73" s="7" t="n">
        <f aca="false">AVERAGE(B68:B72)</f>
        <v>5</v>
      </c>
      <c r="L73" s="7" t="n">
        <f aca="false">ABS(B73-K73)</f>
        <v>0</v>
      </c>
    </row>
    <row r="74" customFormat="false" ht="15" hidden="false" customHeight="false" outlineLevel="0" collapsed="false">
      <c r="A74" s="0" t="n">
        <v>73</v>
      </c>
      <c r="B74" s="6" t="n">
        <v>5</v>
      </c>
      <c r="C74" s="7" t="n">
        <f aca="false">C73*(1-Annahmen!$B$13)+Annahmen!$B$15*(1+(B74-3)/2*Annahmen!$B$16)*(1+Annahmen!$B$25*(L74-Annahmen!$B$26))</f>
        <v>352.668947382937</v>
      </c>
      <c r="D74" s="7" t="n">
        <f aca="false">MIN(100,MAX(0,D73-Annahmen!$B$17*(B74-3)-Annahmen!$B$14*(D73-50)+Annahmen!$B$27*(L74-Annahmen!$B$26)))</f>
        <v>0</v>
      </c>
      <c r="E74" s="7" t="n">
        <f aca="false">E73+Annahmen!$B$12*(C74*Annahmen!$B$11*(D74/100)-E73)</f>
        <v>0.000372356336724306</v>
      </c>
      <c r="F74" s="7" t="n">
        <f aca="false">C74*Annahmen!$B$10*(D74/100)</f>
        <v>0</v>
      </c>
      <c r="G74" s="7" t="n">
        <f aca="false">E74*Annahmen!$B$9</f>
        <v>0.000744712673448612</v>
      </c>
      <c r="H74" s="7" t="n">
        <f aca="false">Annahmen!$B$18*Annahmen!$B$20*Annahmen!$B$19+Annahmen!$B$21+C74*Annahmen!$B$22</f>
        <v>90.5266894738294</v>
      </c>
      <c r="I74" s="7" t="n">
        <f aca="false">F74+G74-H74</f>
        <v>-90.5259447611559</v>
      </c>
      <c r="J74" s="7" t="n">
        <f aca="false">J73+I74</f>
        <v>-5614.82007513519</v>
      </c>
      <c r="K74" s="7" t="n">
        <f aca="false">AVERAGE(B69:B73)</f>
        <v>5</v>
      </c>
      <c r="L74" s="7" t="n">
        <f aca="false">ABS(B74-K74)</f>
        <v>0</v>
      </c>
    </row>
    <row r="75" customFormat="false" ht="15" hidden="false" customHeight="false" outlineLevel="0" collapsed="false">
      <c r="A75" s="0" t="n">
        <v>74</v>
      </c>
      <c r="B75" s="6" t="n">
        <v>5</v>
      </c>
      <c r="C75" s="7" t="n">
        <f aca="false">C74*(1-Annahmen!$B$13)+Annahmen!$B$15*(1+(B75-3)/2*Annahmen!$B$16)*(1+Annahmen!$B$25*(L75-Annahmen!$B$26))</f>
        <v>353.588878961449</v>
      </c>
      <c r="D75" s="7" t="n">
        <f aca="false">MIN(100,MAX(0,D74-Annahmen!$B$17*(B75-3)-Annahmen!$B$14*(D74-50)+Annahmen!$B$27*(L75-Annahmen!$B$26)))</f>
        <v>0</v>
      </c>
      <c r="E75" s="7" t="n">
        <f aca="false">E74+Annahmen!$B$12*(C75*Annahmen!$B$11*(D75/100)-E74)</f>
        <v>0.00031650288621566</v>
      </c>
      <c r="F75" s="7" t="n">
        <f aca="false">C75*Annahmen!$B$10*(D75/100)</f>
        <v>0</v>
      </c>
      <c r="G75" s="7" t="n">
        <f aca="false">E75*Annahmen!$B$9</f>
        <v>0.00063300577243132</v>
      </c>
      <c r="H75" s="7" t="n">
        <f aca="false">Annahmen!$B$18*Annahmen!$B$20*Annahmen!$B$19+Annahmen!$B$21+C75*Annahmen!$B$22</f>
        <v>90.5358887896145</v>
      </c>
      <c r="I75" s="7" t="n">
        <f aca="false">F75+G75-H75</f>
        <v>-90.5352557838421</v>
      </c>
      <c r="J75" s="7" t="n">
        <f aca="false">J74+I75</f>
        <v>-5705.35533091903</v>
      </c>
      <c r="K75" s="7" t="n">
        <f aca="false">AVERAGE(B70:B74)</f>
        <v>5</v>
      </c>
      <c r="L75" s="7" t="n">
        <f aca="false">ABS(B75-K75)</f>
        <v>0</v>
      </c>
    </row>
    <row r="76" customFormat="false" ht="15" hidden="false" customHeight="false" outlineLevel="0" collapsed="false">
      <c r="A76" s="0" t="n">
        <v>75</v>
      </c>
      <c r="B76" s="6" t="n">
        <v>5</v>
      </c>
      <c r="C76" s="7" t="n">
        <f aca="false">C75*(1-Annahmen!$B$13)+Annahmen!$B$15*(1+(B76-3)/2*Annahmen!$B$16)*(1+Annahmen!$B$25*(L76-Annahmen!$B$26))</f>
        <v>354.481212592605</v>
      </c>
      <c r="D76" s="7" t="n">
        <f aca="false">MIN(100,MAX(0,D75-Annahmen!$B$17*(B76-3)-Annahmen!$B$14*(D75-50)+Annahmen!$B$27*(L76-Annahmen!$B$26)))</f>
        <v>0</v>
      </c>
      <c r="E76" s="7" t="n">
        <f aca="false">E75+Annahmen!$B$12*(C76*Annahmen!$B$11*(D76/100)-E75)</f>
        <v>0.000269027453283311</v>
      </c>
      <c r="F76" s="7" t="n">
        <f aca="false">C76*Annahmen!$B$10*(D76/100)</f>
        <v>0</v>
      </c>
      <c r="G76" s="7" t="n">
        <f aca="false">E76*Annahmen!$B$9</f>
        <v>0.000538054906566622</v>
      </c>
      <c r="H76" s="7" t="n">
        <f aca="false">Annahmen!$B$18*Annahmen!$B$20*Annahmen!$B$19+Annahmen!$B$21+C76*Annahmen!$B$22</f>
        <v>90.5448121259261</v>
      </c>
      <c r="I76" s="7" t="n">
        <f aca="false">F76+G76-H76</f>
        <v>-90.5442740710195</v>
      </c>
      <c r="J76" s="7" t="n">
        <f aca="false">J75+I76</f>
        <v>-5795.89960499005</v>
      </c>
      <c r="K76" s="7" t="n">
        <f aca="false">AVERAGE(B71:B75)</f>
        <v>5</v>
      </c>
      <c r="L76" s="7" t="n">
        <f aca="false">ABS(B76-K76)</f>
        <v>0</v>
      </c>
    </row>
    <row r="77" customFormat="false" ht="15" hidden="false" customHeight="false" outlineLevel="0" collapsed="false">
      <c r="A77" s="0" t="n">
        <v>76</v>
      </c>
      <c r="B77" s="6" t="n">
        <v>5</v>
      </c>
      <c r="C77" s="7" t="n">
        <f aca="false">C76*(1-Annahmen!$B$13)+Annahmen!$B$15*(1+(B77-3)/2*Annahmen!$B$16)*(1+Annahmen!$B$25*(L77-Annahmen!$B$26))</f>
        <v>355.346776214827</v>
      </c>
      <c r="D77" s="7" t="n">
        <f aca="false">MIN(100,MAX(0,D76-Annahmen!$B$17*(B77-3)-Annahmen!$B$14*(D76-50)+Annahmen!$B$27*(L77-Annahmen!$B$26)))</f>
        <v>0</v>
      </c>
      <c r="E77" s="7" t="n">
        <f aca="false">E76+Annahmen!$B$12*(C77*Annahmen!$B$11*(D77/100)-E76)</f>
        <v>0.000228673335290814</v>
      </c>
      <c r="F77" s="7" t="n">
        <f aca="false">C77*Annahmen!$B$10*(D77/100)</f>
        <v>0</v>
      </c>
      <c r="G77" s="7" t="n">
        <f aca="false">E77*Annahmen!$B$9</f>
        <v>0.000457346670581629</v>
      </c>
      <c r="H77" s="7" t="n">
        <f aca="false">Annahmen!$B$18*Annahmen!$B$20*Annahmen!$B$19+Annahmen!$B$21+C77*Annahmen!$B$22</f>
        <v>90.5534677621483</v>
      </c>
      <c r="I77" s="7" t="n">
        <f aca="false">F77+G77-H77</f>
        <v>-90.5530104154777</v>
      </c>
      <c r="J77" s="7" t="n">
        <f aca="false">J76+I77</f>
        <v>-5886.45261540553</v>
      </c>
      <c r="K77" s="7" t="n">
        <f aca="false">AVERAGE(B72:B76)</f>
        <v>5</v>
      </c>
      <c r="L77" s="7" t="n">
        <f aca="false">ABS(B77-K77)</f>
        <v>0</v>
      </c>
    </row>
    <row r="78" customFormat="false" ht="15" hidden="false" customHeight="false" outlineLevel="0" collapsed="false">
      <c r="A78" s="0" t="n">
        <v>77</v>
      </c>
      <c r="B78" s="6" t="n">
        <v>5</v>
      </c>
      <c r="C78" s="7" t="n">
        <f aca="false">C77*(1-Annahmen!$B$13)+Annahmen!$B$15*(1+(B78-3)/2*Annahmen!$B$16)*(1+Annahmen!$B$25*(L78-Annahmen!$B$26))</f>
        <v>356.186372928382</v>
      </c>
      <c r="D78" s="7" t="n">
        <f aca="false">MIN(100,MAX(0,D77-Annahmen!$B$17*(B78-3)-Annahmen!$B$14*(D77-50)+Annahmen!$B$27*(L78-Annahmen!$B$26)))</f>
        <v>0</v>
      </c>
      <c r="E78" s="7" t="n">
        <f aca="false">E77+Annahmen!$B$12*(C78*Annahmen!$B$11*(D78/100)-E77)</f>
        <v>0.000194372334997192</v>
      </c>
      <c r="F78" s="7" t="n">
        <f aca="false">C78*Annahmen!$B$10*(D78/100)</f>
        <v>0</v>
      </c>
      <c r="G78" s="7" t="n">
        <f aca="false">E78*Annahmen!$B$9</f>
        <v>0.000388744669994384</v>
      </c>
      <c r="H78" s="7" t="n">
        <f aca="false">Annahmen!$B$18*Annahmen!$B$20*Annahmen!$B$19+Annahmen!$B$21+C78*Annahmen!$B$22</f>
        <v>90.5618637292838</v>
      </c>
      <c r="I78" s="7" t="n">
        <f aca="false">F78+G78-H78</f>
        <v>-90.5614749846138</v>
      </c>
      <c r="J78" s="7" t="n">
        <f aca="false">J77+I78</f>
        <v>-5977.01409039014</v>
      </c>
      <c r="K78" s="7" t="n">
        <f aca="false">AVERAGE(B73:B77)</f>
        <v>5</v>
      </c>
      <c r="L78" s="7" t="n">
        <f aca="false">ABS(B78-K78)</f>
        <v>0</v>
      </c>
    </row>
    <row r="79" customFormat="false" ht="15" hidden="false" customHeight="false" outlineLevel="0" collapsed="false">
      <c r="A79" s="0" t="n">
        <v>78</v>
      </c>
      <c r="B79" s="6" t="n">
        <v>5</v>
      </c>
      <c r="C79" s="7" t="n">
        <f aca="false">C78*(1-Annahmen!$B$13)+Annahmen!$B$15*(1+(B79-3)/2*Annahmen!$B$16)*(1+Annahmen!$B$25*(L79-Annahmen!$B$26))</f>
        <v>357.000781740531</v>
      </c>
      <c r="D79" s="7" t="n">
        <f aca="false">MIN(100,MAX(0,D78-Annahmen!$B$17*(B79-3)-Annahmen!$B$14*(D78-50)+Annahmen!$B$27*(L79-Annahmen!$B$26)))</f>
        <v>0</v>
      </c>
      <c r="E79" s="7" t="n">
        <f aca="false">E78+Annahmen!$B$12*(C79*Annahmen!$B$11*(D79/100)-E78)</f>
        <v>0.000165216484747613</v>
      </c>
      <c r="F79" s="7" t="n">
        <f aca="false">C79*Annahmen!$B$10*(D79/100)</f>
        <v>0</v>
      </c>
      <c r="G79" s="7" t="n">
        <f aca="false">E79*Annahmen!$B$9</f>
        <v>0.000330432969495227</v>
      </c>
      <c r="H79" s="7" t="n">
        <f aca="false">Annahmen!$B$18*Annahmen!$B$20*Annahmen!$B$19+Annahmen!$B$21+C79*Annahmen!$B$22</f>
        <v>90.5700078174053</v>
      </c>
      <c r="I79" s="7" t="n">
        <f aca="false">F79+G79-H79</f>
        <v>-90.5696773844358</v>
      </c>
      <c r="J79" s="7" t="n">
        <f aca="false">J78+I79</f>
        <v>-6067.58376777458</v>
      </c>
      <c r="K79" s="7" t="n">
        <f aca="false">AVERAGE(B74:B78)</f>
        <v>5</v>
      </c>
      <c r="L79" s="7" t="n">
        <f aca="false">ABS(B79-K79)</f>
        <v>0</v>
      </c>
    </row>
    <row r="80" customFormat="false" ht="15" hidden="false" customHeight="false" outlineLevel="0" collapsed="false">
      <c r="A80" s="0" t="n">
        <v>79</v>
      </c>
      <c r="B80" s="6" t="n">
        <v>5</v>
      </c>
      <c r="C80" s="7" t="n">
        <f aca="false">C79*(1-Annahmen!$B$13)+Annahmen!$B$15*(1+(B80-3)/2*Annahmen!$B$16)*(1+Annahmen!$B$25*(L80-Annahmen!$B$26))</f>
        <v>357.790758288315</v>
      </c>
      <c r="D80" s="7" t="n">
        <f aca="false">MIN(100,MAX(0,D79-Annahmen!$B$17*(B80-3)-Annahmen!$B$14*(D79-50)+Annahmen!$B$27*(L80-Annahmen!$B$26)))</f>
        <v>0</v>
      </c>
      <c r="E80" s="7" t="n">
        <f aca="false">E79+Annahmen!$B$12*(C80*Annahmen!$B$11*(D80/100)-E79)</f>
        <v>0.000140434012035471</v>
      </c>
      <c r="F80" s="7" t="n">
        <f aca="false">C80*Annahmen!$B$10*(D80/100)</f>
        <v>0</v>
      </c>
      <c r="G80" s="7" t="n">
        <f aca="false">E80*Annahmen!$B$9</f>
        <v>0.000280868024070943</v>
      </c>
      <c r="H80" s="7" t="n">
        <f aca="false">Annahmen!$B$18*Annahmen!$B$20*Annahmen!$B$19+Annahmen!$B$21+C80*Annahmen!$B$22</f>
        <v>90.5779075828831</v>
      </c>
      <c r="I80" s="7" t="n">
        <f aca="false">F80+G80-H80</f>
        <v>-90.5776267148591</v>
      </c>
      <c r="J80" s="7" t="n">
        <f aca="false">J79+I80</f>
        <v>-6158.16139448944</v>
      </c>
      <c r="K80" s="7" t="n">
        <f aca="false">AVERAGE(B75:B79)</f>
        <v>5</v>
      </c>
      <c r="L80" s="7" t="n">
        <f aca="false">ABS(B80-K80)</f>
        <v>0</v>
      </c>
    </row>
    <row r="81" customFormat="false" ht="15" hidden="false" customHeight="false" outlineLevel="0" collapsed="false">
      <c r="A81" s="0" t="n">
        <v>80</v>
      </c>
      <c r="B81" s="6" t="n">
        <v>5</v>
      </c>
      <c r="C81" s="7" t="n">
        <f aca="false">C80*(1-Annahmen!$B$13)+Annahmen!$B$15*(1+(B81-3)/2*Annahmen!$B$16)*(1+Annahmen!$B$25*(L81-Annahmen!$B$26))</f>
        <v>358.557035539665</v>
      </c>
      <c r="D81" s="7" t="n">
        <f aca="false">MIN(100,MAX(0,D80-Annahmen!$B$17*(B81-3)-Annahmen!$B$14*(D80-50)+Annahmen!$B$27*(L81-Annahmen!$B$26)))</f>
        <v>0</v>
      </c>
      <c r="E81" s="7" t="n">
        <f aca="false">E80+Annahmen!$B$12*(C81*Annahmen!$B$11*(D81/100)-E80)</f>
        <v>0.000119368910230151</v>
      </c>
      <c r="F81" s="7" t="n">
        <f aca="false">C81*Annahmen!$B$10*(D81/100)</f>
        <v>0</v>
      </c>
      <c r="G81" s="7" t="n">
        <f aca="false">E81*Annahmen!$B$9</f>
        <v>0.000238737820460301</v>
      </c>
      <c r="H81" s="7" t="n">
        <f aca="false">Annahmen!$B$18*Annahmen!$B$20*Annahmen!$B$19+Annahmen!$B$21+C81*Annahmen!$B$22</f>
        <v>90.5855703553967</v>
      </c>
      <c r="I81" s="7" t="n">
        <f aca="false">F81+G81-H81</f>
        <v>-90.5853316175762</v>
      </c>
      <c r="J81" s="7" t="n">
        <f aca="false">J80+I81</f>
        <v>-6248.74672610701</v>
      </c>
      <c r="K81" s="7" t="n">
        <f aca="false">AVERAGE(B76:B80)</f>
        <v>5</v>
      </c>
      <c r="L81" s="7" t="n">
        <f aca="false">ABS(B81-K81)</f>
        <v>0</v>
      </c>
    </row>
    <row r="82" customFormat="false" ht="15" hidden="false" customHeight="false" outlineLevel="0" collapsed="false">
      <c r="A82" s="0" t="n">
        <v>81</v>
      </c>
      <c r="B82" s="6" t="n">
        <v>5</v>
      </c>
      <c r="C82" s="7" t="n">
        <f aca="false">C81*(1-Annahmen!$B$13)+Annahmen!$B$15*(1+(B82-3)/2*Annahmen!$B$16)*(1+Annahmen!$B$25*(L82-Annahmen!$B$26))</f>
        <v>359.300324473475</v>
      </c>
      <c r="D82" s="7" t="n">
        <f aca="false">MIN(100,MAX(0,D81-Annahmen!$B$17*(B82-3)-Annahmen!$B$14*(D81-50)+Annahmen!$B$27*(L82-Annahmen!$B$26)))</f>
        <v>0</v>
      </c>
      <c r="E82" s="7" t="n">
        <f aca="false">E81+Annahmen!$B$12*(C82*Annahmen!$B$11*(D82/100)-E81)</f>
        <v>0.000101463573695628</v>
      </c>
      <c r="F82" s="7" t="n">
        <f aca="false">C82*Annahmen!$B$10*(D82/100)</f>
        <v>0</v>
      </c>
      <c r="G82" s="7" t="n">
        <f aca="false">E82*Annahmen!$B$9</f>
        <v>0.000202927147391256</v>
      </c>
      <c r="H82" s="7" t="n">
        <f aca="false">Annahmen!$B$18*Annahmen!$B$20*Annahmen!$B$19+Annahmen!$B$21+C82*Annahmen!$B$22</f>
        <v>90.5930032447348</v>
      </c>
      <c r="I82" s="7" t="n">
        <f aca="false">F82+G82-H82</f>
        <v>-90.5928003175874</v>
      </c>
      <c r="J82" s="7" t="n">
        <f aca="false">J81+I82</f>
        <v>-6339.3395264246</v>
      </c>
      <c r="K82" s="7" t="n">
        <f aca="false">AVERAGE(B77:B81)</f>
        <v>5</v>
      </c>
      <c r="L82" s="7" t="n">
        <f aca="false">ABS(B82-K82)</f>
        <v>0</v>
      </c>
    </row>
    <row r="83" customFormat="false" ht="15" hidden="false" customHeight="false" outlineLevel="0" collapsed="false">
      <c r="A83" s="0" t="n">
        <v>82</v>
      </c>
      <c r="B83" s="6" t="n">
        <v>5</v>
      </c>
      <c r="C83" s="7" t="n">
        <f aca="false">C82*(1-Annahmen!$B$13)+Annahmen!$B$15*(1+(B83-3)/2*Annahmen!$B$16)*(1+Annahmen!$B$25*(L83-Annahmen!$B$26))</f>
        <v>360.021314739271</v>
      </c>
      <c r="D83" s="7" t="n">
        <f aca="false">MIN(100,MAX(0,D82-Annahmen!$B$17*(B83-3)-Annahmen!$B$14*(D82-50)+Annahmen!$B$27*(L83-Annahmen!$B$26)))</f>
        <v>0</v>
      </c>
      <c r="E83" s="7" t="n">
        <f aca="false">E82+Annahmen!$B$12*(C83*Annahmen!$B$11*(D83/100)-E82)</f>
        <v>8.62440376412838E-005</v>
      </c>
      <c r="F83" s="7" t="n">
        <f aca="false">C83*Annahmen!$B$10*(D83/100)</f>
        <v>0</v>
      </c>
      <c r="G83" s="7" t="n">
        <f aca="false">E83*Annahmen!$B$9</f>
        <v>0.000172488075282568</v>
      </c>
      <c r="H83" s="7" t="n">
        <f aca="false">Annahmen!$B$18*Annahmen!$B$20*Annahmen!$B$19+Annahmen!$B$21+C83*Annahmen!$B$22</f>
        <v>90.6002131473927</v>
      </c>
      <c r="I83" s="7" t="n">
        <f aca="false">F83+G83-H83</f>
        <v>-90.6000406593174</v>
      </c>
      <c r="J83" s="7" t="n">
        <f aca="false">J82+I83</f>
        <v>-6429.93956708392</v>
      </c>
      <c r="K83" s="7" t="n">
        <f aca="false">AVERAGE(B78:B82)</f>
        <v>5</v>
      </c>
      <c r="L83" s="7" t="n">
        <f aca="false">ABS(B83-K83)</f>
        <v>0</v>
      </c>
    </row>
    <row r="84" customFormat="false" ht="15" hidden="false" customHeight="false" outlineLevel="0" collapsed="false">
      <c r="A84" s="0" t="n">
        <v>83</v>
      </c>
      <c r="B84" s="6" t="n">
        <v>5</v>
      </c>
      <c r="C84" s="7" t="n">
        <f aca="false">C83*(1-Annahmen!$B$13)+Annahmen!$B$15*(1+(B84-3)/2*Annahmen!$B$16)*(1+Annahmen!$B$25*(L84-Annahmen!$B$26))</f>
        <v>360.720675297093</v>
      </c>
      <c r="D84" s="7" t="n">
        <f aca="false">MIN(100,MAX(0,D83-Annahmen!$B$17*(B84-3)-Annahmen!$B$14*(D83-50)+Annahmen!$B$27*(L84-Annahmen!$B$26)))</f>
        <v>0</v>
      </c>
      <c r="E84" s="7" t="n">
        <f aca="false">E83+Annahmen!$B$12*(C84*Annahmen!$B$11*(D84/100)-E83)</f>
        <v>7.33074319950912E-005</v>
      </c>
      <c r="F84" s="7" t="n">
        <f aca="false">C84*Annahmen!$B$10*(D84/100)</f>
        <v>0</v>
      </c>
      <c r="G84" s="7" t="n">
        <f aca="false">E84*Annahmen!$B$9</f>
        <v>0.000146614863990182</v>
      </c>
      <c r="H84" s="7" t="n">
        <f aca="false">Annahmen!$B$18*Annahmen!$B$20*Annahmen!$B$19+Annahmen!$B$21+C84*Annahmen!$B$22</f>
        <v>90.6072067529709</v>
      </c>
      <c r="I84" s="7" t="n">
        <f aca="false">F84+G84-H84</f>
        <v>-90.6070601381069</v>
      </c>
      <c r="J84" s="7" t="n">
        <f aca="false">J83+I84</f>
        <v>-6520.54662722203</v>
      </c>
      <c r="K84" s="7" t="n">
        <f aca="false">AVERAGE(B79:B83)</f>
        <v>5</v>
      </c>
      <c r="L84" s="7" t="n">
        <f aca="false">ABS(B84-K84)</f>
        <v>0</v>
      </c>
    </row>
    <row r="85" customFormat="false" ht="15" hidden="false" customHeight="false" outlineLevel="0" collapsed="false">
      <c r="A85" s="0" t="n">
        <v>84</v>
      </c>
      <c r="B85" s="6" t="n">
        <v>5</v>
      </c>
      <c r="C85" s="7" t="n">
        <f aca="false">C84*(1-Annahmen!$B$13)+Annahmen!$B$15*(1+(B85-3)/2*Annahmen!$B$16)*(1+Annahmen!$B$25*(L85-Annahmen!$B$26))</f>
        <v>361.39905503818</v>
      </c>
      <c r="D85" s="7" t="n">
        <f aca="false">MIN(100,MAX(0,D84-Annahmen!$B$17*(B85-3)-Annahmen!$B$14*(D84-50)+Annahmen!$B$27*(L85-Annahmen!$B$26)))</f>
        <v>0</v>
      </c>
      <c r="E85" s="7" t="n">
        <f aca="false">E84+Annahmen!$B$12*(C85*Annahmen!$B$11*(D85/100)-E84)</f>
        <v>6.23113171958276E-005</v>
      </c>
      <c r="F85" s="7" t="n">
        <f aca="false">C85*Annahmen!$B$10*(D85/100)</f>
        <v>0</v>
      </c>
      <c r="G85" s="7" t="n">
        <f aca="false">E85*Annahmen!$B$9</f>
        <v>0.000124622634391655</v>
      </c>
      <c r="H85" s="7" t="n">
        <f aca="false">Annahmen!$B$18*Annahmen!$B$20*Annahmen!$B$19+Annahmen!$B$21+C85*Annahmen!$B$22</f>
        <v>90.6139905503818</v>
      </c>
      <c r="I85" s="7" t="n">
        <f aca="false">F85+G85-H85</f>
        <v>-90.6138659277474</v>
      </c>
      <c r="J85" s="7" t="n">
        <f aca="false">J84+I85</f>
        <v>-6611.16049314977</v>
      </c>
      <c r="K85" s="7" t="n">
        <f aca="false">AVERAGE(B80:B84)</f>
        <v>5</v>
      </c>
      <c r="L85" s="7" t="n">
        <f aca="false">ABS(B85-K85)</f>
        <v>0</v>
      </c>
    </row>
    <row r="86" customFormat="false" ht="15" hidden="false" customHeight="false" outlineLevel="0" collapsed="false">
      <c r="A86" s="0" t="n">
        <v>85</v>
      </c>
      <c r="B86" s="6" t="n">
        <v>5</v>
      </c>
      <c r="C86" s="7" t="n">
        <f aca="false">C85*(1-Annahmen!$B$13)+Annahmen!$B$15*(1+(B86-3)/2*Annahmen!$B$16)*(1+Annahmen!$B$25*(L86-Annahmen!$B$26))</f>
        <v>362.057083387035</v>
      </c>
      <c r="D86" s="7" t="n">
        <f aca="false">MIN(100,MAX(0,D85-Annahmen!$B$17*(B86-3)-Annahmen!$B$14*(D85-50)+Annahmen!$B$27*(L86-Annahmen!$B$26)))</f>
        <v>0</v>
      </c>
      <c r="E86" s="7" t="n">
        <f aca="false">E85+Annahmen!$B$12*(C86*Annahmen!$B$11*(D86/100)-E85)</f>
        <v>5.29646196164534E-005</v>
      </c>
      <c r="F86" s="7" t="n">
        <f aca="false">C86*Annahmen!$B$10*(D86/100)</f>
        <v>0</v>
      </c>
      <c r="G86" s="7" t="n">
        <f aca="false">E86*Annahmen!$B$9</f>
        <v>0.000105929239232907</v>
      </c>
      <c r="H86" s="7" t="n">
        <f aca="false">Annahmen!$B$18*Annahmen!$B$20*Annahmen!$B$19+Annahmen!$B$21+C86*Annahmen!$B$22</f>
        <v>90.6205708338704</v>
      </c>
      <c r="I86" s="7" t="n">
        <f aca="false">F86+G86-H86</f>
        <v>-90.6204649046311</v>
      </c>
      <c r="J86" s="7" t="n">
        <f aca="false">J85+I86</f>
        <v>-6701.78095805441</v>
      </c>
      <c r="K86" s="7" t="n">
        <f aca="false">AVERAGE(B81:B85)</f>
        <v>5</v>
      </c>
      <c r="L86" s="7" t="n">
        <f aca="false">ABS(B86-K86)</f>
        <v>0</v>
      </c>
    </row>
    <row r="87" customFormat="false" ht="15" hidden="false" customHeight="false" outlineLevel="0" collapsed="false">
      <c r="A87" s="0" t="n">
        <v>86</v>
      </c>
      <c r="B87" s="6" t="n">
        <v>5</v>
      </c>
      <c r="C87" s="7" t="n">
        <f aca="false">C86*(1-Annahmen!$B$13)+Annahmen!$B$15*(1+(B87-3)/2*Annahmen!$B$16)*(1+Annahmen!$B$25*(L87-Annahmen!$B$26))</f>
        <v>362.695370885424</v>
      </c>
      <c r="D87" s="7" t="n">
        <f aca="false">MIN(100,MAX(0,D86-Annahmen!$B$17*(B87-3)-Annahmen!$B$14*(D86-50)+Annahmen!$B$27*(L87-Annahmen!$B$26)))</f>
        <v>0</v>
      </c>
      <c r="E87" s="7" t="n">
        <f aca="false">E86+Annahmen!$B$12*(C87*Annahmen!$B$11*(D87/100)-E86)</f>
        <v>4.50199266739854E-005</v>
      </c>
      <c r="F87" s="7" t="n">
        <f aca="false">C87*Annahmen!$B$10*(D87/100)</f>
        <v>0</v>
      </c>
      <c r="G87" s="7" t="n">
        <f aca="false">E87*Annahmen!$B$9</f>
        <v>9.00398533479708E-005</v>
      </c>
      <c r="H87" s="7" t="n">
        <f aca="false">Annahmen!$B$18*Annahmen!$B$20*Annahmen!$B$19+Annahmen!$B$21+C87*Annahmen!$B$22</f>
        <v>90.6269537088542</v>
      </c>
      <c r="I87" s="7" t="n">
        <f aca="false">F87+G87-H87</f>
        <v>-90.6268636690009</v>
      </c>
      <c r="J87" s="7" t="n">
        <f aca="false">J86+I87</f>
        <v>-6792.40782172341</v>
      </c>
      <c r="K87" s="7" t="n">
        <f aca="false">AVERAGE(B82:B86)</f>
        <v>5</v>
      </c>
      <c r="L87" s="7" t="n">
        <f aca="false">ABS(B87-K87)</f>
        <v>0</v>
      </c>
    </row>
    <row r="88" customFormat="false" ht="15" hidden="false" customHeight="false" outlineLevel="0" collapsed="false">
      <c r="A88" s="0" t="n">
        <v>87</v>
      </c>
      <c r="B88" s="6" t="n">
        <v>5</v>
      </c>
      <c r="C88" s="7" t="n">
        <f aca="false">C87*(1-Annahmen!$B$13)+Annahmen!$B$15*(1+(B88-3)/2*Annahmen!$B$16)*(1+Annahmen!$B$25*(L88-Annahmen!$B$26))</f>
        <v>363.314509758861</v>
      </c>
      <c r="D88" s="7" t="n">
        <f aca="false">MIN(100,MAX(0,D87-Annahmen!$B$17*(B88-3)-Annahmen!$B$14*(D87-50)+Annahmen!$B$27*(L88-Annahmen!$B$26)))</f>
        <v>0</v>
      </c>
      <c r="E88" s="7" t="n">
        <f aca="false">E87+Annahmen!$B$12*(C88*Annahmen!$B$11*(D88/100)-E87)</f>
        <v>3.82669376728876E-005</v>
      </c>
      <c r="F88" s="7" t="n">
        <f aca="false">C88*Annahmen!$B$10*(D88/100)</f>
        <v>0</v>
      </c>
      <c r="G88" s="7" t="n">
        <f aca="false">E88*Annahmen!$B$9</f>
        <v>7.65338753457752E-005</v>
      </c>
      <c r="H88" s="7" t="n">
        <f aca="false">Annahmen!$B$18*Annahmen!$B$20*Annahmen!$B$19+Annahmen!$B$21+C88*Annahmen!$B$22</f>
        <v>90.6331450975886</v>
      </c>
      <c r="I88" s="7" t="n">
        <f aca="false">F88+G88-H88</f>
        <v>-90.6330685637133</v>
      </c>
      <c r="J88" s="7" t="n">
        <f aca="false">J87+I88</f>
        <v>-6883.04089028712</v>
      </c>
      <c r="K88" s="7" t="n">
        <f aca="false">AVERAGE(B83:B87)</f>
        <v>5</v>
      </c>
      <c r="L88" s="7" t="n">
        <f aca="false">ABS(B88-K88)</f>
        <v>0</v>
      </c>
    </row>
    <row r="89" customFormat="false" ht="15" hidden="false" customHeight="false" outlineLevel="0" collapsed="false">
      <c r="A89" s="0" t="n">
        <v>88</v>
      </c>
      <c r="B89" s="6" t="n">
        <v>5</v>
      </c>
      <c r="C89" s="7" t="n">
        <f aca="false">C88*(1-Annahmen!$B$13)+Annahmen!$B$15*(1+(B89-3)/2*Annahmen!$B$16)*(1+Annahmen!$B$25*(L89-Annahmen!$B$26))</f>
        <v>363.915074466095</v>
      </c>
      <c r="D89" s="7" t="n">
        <f aca="false">MIN(100,MAX(0,D88-Annahmen!$B$17*(B89-3)-Annahmen!$B$14*(D88-50)+Annahmen!$B$27*(L89-Annahmen!$B$26)))</f>
        <v>0</v>
      </c>
      <c r="E89" s="7" t="n">
        <f aca="false">E88+Annahmen!$B$12*(C89*Annahmen!$B$11*(D89/100)-E88)</f>
        <v>3.25268970219545E-005</v>
      </c>
      <c r="F89" s="7" t="n">
        <f aca="false">C89*Annahmen!$B$10*(D89/100)</f>
        <v>0</v>
      </c>
      <c r="G89" s="7" t="n">
        <f aca="false">E89*Annahmen!$B$9</f>
        <v>6.50537940439089E-005</v>
      </c>
      <c r="H89" s="7" t="n">
        <f aca="false">Annahmen!$B$18*Annahmen!$B$20*Annahmen!$B$19+Annahmen!$B$21+C89*Annahmen!$B$22</f>
        <v>90.639150744661</v>
      </c>
      <c r="I89" s="7" t="n">
        <f aca="false">F89+G89-H89</f>
        <v>-90.6390856908669</v>
      </c>
      <c r="J89" s="7" t="n">
        <f aca="false">J88+I89</f>
        <v>-6973.67997597799</v>
      </c>
      <c r="K89" s="7" t="n">
        <f aca="false">AVERAGE(B84:B88)</f>
        <v>5</v>
      </c>
      <c r="L89" s="7" t="n">
        <f aca="false">ABS(B89-K89)</f>
        <v>0</v>
      </c>
    </row>
    <row r="90" customFormat="false" ht="15" hidden="false" customHeight="false" outlineLevel="0" collapsed="false">
      <c r="A90" s="0" t="n">
        <v>89</v>
      </c>
      <c r="B90" s="6" t="n">
        <v>5</v>
      </c>
      <c r="C90" s="7" t="n">
        <f aca="false">C89*(1-Annahmen!$B$13)+Annahmen!$B$15*(1+(B90-3)/2*Annahmen!$B$16)*(1+Annahmen!$B$25*(L90-Annahmen!$B$26))</f>
        <v>364.497622232112</v>
      </c>
      <c r="D90" s="7" t="n">
        <f aca="false">MIN(100,MAX(0,D89-Annahmen!$B$17*(B90-3)-Annahmen!$B$14*(D89-50)+Annahmen!$B$27*(L90-Annahmen!$B$26)))</f>
        <v>0</v>
      </c>
      <c r="E90" s="7" t="n">
        <f aca="false">E89+Annahmen!$B$12*(C90*Annahmen!$B$11*(D90/100)-E89)</f>
        <v>2.76478624686613E-005</v>
      </c>
      <c r="F90" s="7" t="n">
        <f aca="false">C90*Annahmen!$B$10*(D90/100)</f>
        <v>0</v>
      </c>
      <c r="G90" s="7" t="n">
        <f aca="false">E90*Annahmen!$B$9</f>
        <v>5.52957249373226E-005</v>
      </c>
      <c r="H90" s="7" t="n">
        <f aca="false">Annahmen!$B$18*Annahmen!$B$20*Annahmen!$B$19+Annahmen!$B$21+C90*Annahmen!$B$22</f>
        <v>90.6449762223211</v>
      </c>
      <c r="I90" s="7" t="n">
        <f aca="false">F90+G90-H90</f>
        <v>-90.6449209265962</v>
      </c>
      <c r="J90" s="7" t="n">
        <f aca="false">J89+I90</f>
        <v>-7064.32489690458</v>
      </c>
      <c r="K90" s="7" t="n">
        <f aca="false">AVERAGE(B85:B89)</f>
        <v>5</v>
      </c>
      <c r="L90" s="7" t="n">
        <f aca="false">ABS(B90-K90)</f>
        <v>0</v>
      </c>
    </row>
    <row r="91" customFormat="false" ht="15" hidden="false" customHeight="false" outlineLevel="0" collapsed="false">
      <c r="A91" s="0" t="n">
        <v>90</v>
      </c>
      <c r="B91" s="6" t="n">
        <v>5</v>
      </c>
      <c r="C91" s="7" t="n">
        <f aca="false">C90*(1-Annahmen!$B$13)+Annahmen!$B$15*(1+(B91-3)/2*Annahmen!$B$16)*(1+Annahmen!$B$25*(L91-Annahmen!$B$26))</f>
        <v>365.062693565149</v>
      </c>
      <c r="D91" s="7" t="n">
        <f aca="false">MIN(100,MAX(0,D90-Annahmen!$B$17*(B91-3)-Annahmen!$B$14*(D90-50)+Annahmen!$B$27*(L91-Annahmen!$B$26)))</f>
        <v>0</v>
      </c>
      <c r="E91" s="7" t="n">
        <f aca="false">E90+Annahmen!$B$12*(C91*Annahmen!$B$11*(D91/100)-E90)</f>
        <v>2.35006830983621E-005</v>
      </c>
      <c r="F91" s="7" t="n">
        <f aca="false">C91*Annahmen!$B$10*(D91/100)</f>
        <v>0</v>
      </c>
      <c r="G91" s="7" t="n">
        <f aca="false">E91*Annahmen!$B$9</f>
        <v>4.70013661967242E-005</v>
      </c>
      <c r="H91" s="7" t="n">
        <f aca="false">Annahmen!$B$18*Annahmen!$B$20*Annahmen!$B$19+Annahmen!$B$21+C91*Annahmen!$B$22</f>
        <v>90.6506269356515</v>
      </c>
      <c r="I91" s="7" t="n">
        <f aca="false">F91+G91-H91</f>
        <v>-90.6505799342853</v>
      </c>
      <c r="J91" s="7" t="n">
        <f aca="false">J90+I91</f>
        <v>-7154.97547683887</v>
      </c>
      <c r="K91" s="7" t="n">
        <f aca="false">AVERAGE(B86:B90)</f>
        <v>5</v>
      </c>
      <c r="L91" s="7" t="n">
        <f aca="false">ABS(B91-K91)</f>
        <v>0</v>
      </c>
    </row>
    <row r="92" customFormat="false" ht="15" hidden="false" customHeight="false" outlineLevel="0" collapsed="false">
      <c r="A92" s="0" t="n">
        <v>91</v>
      </c>
      <c r="B92" s="6" t="n">
        <v>5</v>
      </c>
      <c r="C92" s="7" t="n">
        <f aca="false">C91*(1-Annahmen!$B$13)+Annahmen!$B$15*(1+(B92-3)/2*Annahmen!$B$16)*(1+Annahmen!$B$25*(L92-Annahmen!$B$26))</f>
        <v>365.610812758194</v>
      </c>
      <c r="D92" s="7" t="n">
        <f aca="false">MIN(100,MAX(0,D91-Annahmen!$B$17*(B92-3)-Annahmen!$B$14*(D91-50)+Annahmen!$B$27*(L92-Annahmen!$B$26)))</f>
        <v>0</v>
      </c>
      <c r="E92" s="7" t="n">
        <f aca="false">E91+Annahmen!$B$12*(C92*Annahmen!$B$11*(D92/100)-E91)</f>
        <v>1.99755806336078E-005</v>
      </c>
      <c r="F92" s="7" t="n">
        <f aca="false">C92*Annahmen!$B$10*(D92/100)</f>
        <v>0</v>
      </c>
      <c r="G92" s="7" t="n">
        <f aca="false">E92*Annahmen!$B$9</f>
        <v>3.99511612672156E-005</v>
      </c>
      <c r="H92" s="7" t="n">
        <f aca="false">Annahmen!$B$18*Annahmen!$B$20*Annahmen!$B$19+Annahmen!$B$21+C92*Annahmen!$B$22</f>
        <v>90.6561081275819</v>
      </c>
      <c r="I92" s="7" t="n">
        <f aca="false">F92+G92-H92</f>
        <v>-90.6560681764207</v>
      </c>
      <c r="J92" s="7" t="n">
        <f aca="false">J91+I92</f>
        <v>-7245.63154501529</v>
      </c>
      <c r="K92" s="7" t="n">
        <f aca="false">AVERAGE(B87:B91)</f>
        <v>5</v>
      </c>
      <c r="L92" s="7" t="n">
        <f aca="false">ABS(B92-K92)</f>
        <v>0</v>
      </c>
    </row>
    <row r="93" customFormat="false" ht="15" hidden="false" customHeight="false" outlineLevel="0" collapsed="false">
      <c r="A93" s="0" t="n">
        <v>92</v>
      </c>
      <c r="B93" s="6" t="n">
        <v>5</v>
      </c>
      <c r="C93" s="7" t="n">
        <f aca="false">C92*(1-Annahmen!$B$13)+Annahmen!$B$15*(1+(B93-3)/2*Annahmen!$B$16)*(1+Annahmen!$B$25*(L93-Annahmen!$B$26))</f>
        <v>366.142488375449</v>
      </c>
      <c r="D93" s="7" t="n">
        <f aca="false">MIN(100,MAX(0,D92-Annahmen!$B$17*(B93-3)-Annahmen!$B$14*(D92-50)+Annahmen!$B$27*(L93-Annahmen!$B$26)))</f>
        <v>0</v>
      </c>
      <c r="E93" s="7" t="n">
        <f aca="false">E92+Annahmen!$B$12*(C93*Annahmen!$B$11*(D93/100)-E92)</f>
        <v>1.69792435385666E-005</v>
      </c>
      <c r="F93" s="7" t="n">
        <f aca="false">C93*Annahmen!$B$10*(D93/100)</f>
        <v>0</v>
      </c>
      <c r="G93" s="7" t="n">
        <f aca="false">E93*Annahmen!$B$9</f>
        <v>3.39584870771332E-005</v>
      </c>
      <c r="H93" s="7" t="n">
        <f aca="false">Annahmen!$B$18*Annahmen!$B$20*Annahmen!$B$19+Annahmen!$B$21+C93*Annahmen!$B$22</f>
        <v>90.6614248837545</v>
      </c>
      <c r="I93" s="7" t="n">
        <f aca="false">F93+G93-H93</f>
        <v>-90.6613909252674</v>
      </c>
      <c r="J93" s="7" t="n">
        <f aca="false">J92+I93</f>
        <v>-7336.29293594056</v>
      </c>
      <c r="K93" s="7" t="n">
        <f aca="false">AVERAGE(B88:B92)</f>
        <v>5</v>
      </c>
      <c r="L93" s="7" t="n">
        <f aca="false">ABS(B93-K93)</f>
        <v>0</v>
      </c>
    </row>
    <row r="94" customFormat="false" ht="15" hidden="false" customHeight="false" outlineLevel="0" collapsed="false">
      <c r="A94" s="0" t="n">
        <v>93</v>
      </c>
      <c r="B94" s="6" t="n">
        <v>5</v>
      </c>
      <c r="C94" s="7" t="n">
        <f aca="false">C93*(1-Annahmen!$B$13)+Annahmen!$B$15*(1+(B94-3)/2*Annahmen!$B$16)*(1+Annahmen!$B$25*(L94-Annahmen!$B$26))</f>
        <v>366.658213724185</v>
      </c>
      <c r="D94" s="7" t="n">
        <f aca="false">MIN(100,MAX(0,D93-Annahmen!$B$17*(B94-3)-Annahmen!$B$14*(D93-50)+Annahmen!$B$27*(L94-Annahmen!$B$26)))</f>
        <v>0</v>
      </c>
      <c r="E94" s="7" t="n">
        <f aca="false">E93+Annahmen!$B$12*(C94*Annahmen!$B$11*(D94/100)-E93)</f>
        <v>1.44323570077816E-005</v>
      </c>
      <c r="F94" s="7" t="n">
        <f aca="false">C94*Annahmen!$B$10*(D94/100)</f>
        <v>0</v>
      </c>
      <c r="G94" s="7" t="n">
        <f aca="false">E94*Annahmen!$B$9</f>
        <v>2.88647140155632E-005</v>
      </c>
      <c r="H94" s="7" t="n">
        <f aca="false">Annahmen!$B$18*Annahmen!$B$20*Annahmen!$B$19+Annahmen!$B$21+C94*Annahmen!$B$22</f>
        <v>90.6665821372419</v>
      </c>
      <c r="I94" s="7" t="n">
        <f aca="false">F94+G94-H94</f>
        <v>-90.6665532725278</v>
      </c>
      <c r="J94" s="7" t="n">
        <f aca="false">J93+I94</f>
        <v>-7426.95948921308</v>
      </c>
      <c r="K94" s="7" t="n">
        <f aca="false">AVERAGE(B89:B93)</f>
        <v>5</v>
      </c>
      <c r="L94" s="7" t="n">
        <f aca="false">ABS(B94-K94)</f>
        <v>0</v>
      </c>
    </row>
    <row r="95" customFormat="false" ht="15" hidden="false" customHeight="false" outlineLevel="0" collapsed="false">
      <c r="A95" s="0" t="n">
        <v>94</v>
      </c>
      <c r="B95" s="6" t="n">
        <v>5</v>
      </c>
      <c r="C95" s="7" t="n">
        <f aca="false">C94*(1-Annahmen!$B$13)+Annahmen!$B$15*(1+(B95-3)/2*Annahmen!$B$16)*(1+Annahmen!$B$25*(L95-Annahmen!$B$26))</f>
        <v>367.15846731246</v>
      </c>
      <c r="D95" s="7" t="n">
        <f aca="false">MIN(100,MAX(0,D94-Annahmen!$B$17*(B95-3)-Annahmen!$B$14*(D94-50)+Annahmen!$B$27*(L95-Annahmen!$B$26)))</f>
        <v>0</v>
      </c>
      <c r="E95" s="7" t="n">
        <f aca="false">E94+Annahmen!$B$12*(C95*Annahmen!$B$11*(D95/100)-E94)</f>
        <v>1.22675034566144E-005</v>
      </c>
      <c r="F95" s="7" t="n">
        <f aca="false">C95*Annahmen!$B$10*(D95/100)</f>
        <v>0</v>
      </c>
      <c r="G95" s="7" t="n">
        <f aca="false">E95*Annahmen!$B$9</f>
        <v>2.45350069132288E-005</v>
      </c>
      <c r="H95" s="7" t="n">
        <f aca="false">Annahmen!$B$18*Annahmen!$B$20*Annahmen!$B$19+Annahmen!$B$21+C95*Annahmen!$B$22</f>
        <v>90.6715846731246</v>
      </c>
      <c r="I95" s="7" t="n">
        <f aca="false">F95+G95-H95</f>
        <v>-90.6715601381177</v>
      </c>
      <c r="J95" s="7" t="n">
        <f aca="false">J94+I95</f>
        <v>-7517.6310493512</v>
      </c>
      <c r="K95" s="7" t="n">
        <f aca="false">AVERAGE(B90:B94)</f>
        <v>5</v>
      </c>
      <c r="L95" s="7" t="n">
        <f aca="false">ABS(B95-K95)</f>
        <v>0</v>
      </c>
    </row>
    <row r="96" customFormat="false" ht="15" hidden="false" customHeight="false" outlineLevel="0" collapsed="false">
      <c r="A96" s="0" t="n">
        <v>95</v>
      </c>
      <c r="B96" s="6" t="n">
        <v>5</v>
      </c>
      <c r="C96" s="7" t="n">
        <f aca="false">C95*(1-Annahmen!$B$13)+Annahmen!$B$15*(1+(B96-3)/2*Annahmen!$B$16)*(1+Annahmen!$B$25*(L96-Annahmen!$B$26))</f>
        <v>367.643713293086</v>
      </c>
      <c r="D96" s="7" t="n">
        <f aca="false">MIN(100,MAX(0,D95-Annahmen!$B$17*(B96-3)-Annahmen!$B$14*(D95-50)+Annahmen!$B$27*(L96-Annahmen!$B$26)))</f>
        <v>0</v>
      </c>
      <c r="E96" s="7" t="n">
        <f aca="false">E95+Annahmen!$B$12*(C96*Annahmen!$B$11*(D96/100)-E95)</f>
        <v>1.04273779381222E-005</v>
      </c>
      <c r="F96" s="7" t="n">
        <f aca="false">C96*Annahmen!$B$10*(D96/100)</f>
        <v>0</v>
      </c>
      <c r="G96" s="7" t="n">
        <f aca="false">E96*Annahmen!$B$9</f>
        <v>2.08547558762444E-005</v>
      </c>
      <c r="H96" s="7" t="n">
        <f aca="false">Annahmen!$B$18*Annahmen!$B$20*Annahmen!$B$19+Annahmen!$B$21+C96*Annahmen!$B$22</f>
        <v>90.6764371329309</v>
      </c>
      <c r="I96" s="7" t="n">
        <f aca="false">F96+G96-H96</f>
        <v>-90.676416278175</v>
      </c>
      <c r="J96" s="7" t="n">
        <f aca="false">J95+I96</f>
        <v>-7608.30746562938</v>
      </c>
      <c r="K96" s="7" t="n">
        <f aca="false">AVERAGE(B91:B95)</f>
        <v>5</v>
      </c>
      <c r="L96" s="7" t="n">
        <f aca="false">ABS(B96-K96)</f>
        <v>0</v>
      </c>
    </row>
    <row r="97" customFormat="false" ht="15" hidden="false" customHeight="false" outlineLevel="0" collapsed="false">
      <c r="A97" s="0" t="n">
        <v>96</v>
      </c>
      <c r="B97" s="6" t="n">
        <v>5</v>
      </c>
      <c r="C97" s="7" t="n">
        <f aca="false">C96*(1-Annahmen!$B$13)+Annahmen!$B$15*(1+(B97-3)/2*Annahmen!$B$16)*(1+Annahmen!$B$25*(L97-Annahmen!$B$26))</f>
        <v>368.114401894293</v>
      </c>
      <c r="D97" s="7" t="n">
        <f aca="false">MIN(100,MAX(0,D96-Annahmen!$B$17*(B97-3)-Annahmen!$B$14*(D96-50)+Annahmen!$B$27*(L97-Annahmen!$B$26)))</f>
        <v>0</v>
      </c>
      <c r="E97" s="7" t="n">
        <f aca="false">E96+Annahmen!$B$12*(C97*Annahmen!$B$11*(D97/100)-E96)</f>
        <v>8.86327124740389E-006</v>
      </c>
      <c r="F97" s="7" t="n">
        <f aca="false">C97*Annahmen!$B$10*(D97/100)</f>
        <v>0</v>
      </c>
      <c r="G97" s="7" t="n">
        <f aca="false">E97*Annahmen!$B$9</f>
        <v>1.77265424948078E-005</v>
      </c>
      <c r="H97" s="7" t="n">
        <f aca="false">Annahmen!$B$18*Annahmen!$B$20*Annahmen!$B$19+Annahmen!$B$21+C97*Annahmen!$B$22</f>
        <v>90.6811440189429</v>
      </c>
      <c r="I97" s="7" t="n">
        <f aca="false">F97+G97-H97</f>
        <v>-90.6811262924004</v>
      </c>
      <c r="J97" s="7" t="n">
        <f aca="false">J96+I97</f>
        <v>-7698.98859192178</v>
      </c>
      <c r="K97" s="7" t="n">
        <f aca="false">AVERAGE(B92:B96)</f>
        <v>5</v>
      </c>
      <c r="L97" s="7" t="n">
        <f aca="false">ABS(B97-K97)</f>
        <v>0</v>
      </c>
    </row>
    <row r="98" customFormat="false" ht="15" hidden="false" customHeight="false" outlineLevel="0" collapsed="false">
      <c r="A98" s="0" t="n">
        <v>97</v>
      </c>
      <c r="B98" s="6" t="n">
        <v>5</v>
      </c>
      <c r="C98" s="7" t="n">
        <f aca="false">C97*(1-Annahmen!$B$13)+Annahmen!$B$15*(1+(B98-3)/2*Annahmen!$B$16)*(1+Annahmen!$B$25*(L98-Annahmen!$B$26))</f>
        <v>368.570969837464</v>
      </c>
      <c r="D98" s="7" t="n">
        <f aca="false">MIN(100,MAX(0,D97-Annahmen!$B$17*(B98-3)-Annahmen!$B$14*(D97-50)+Annahmen!$B$27*(L98-Annahmen!$B$26)))</f>
        <v>0</v>
      </c>
      <c r="E98" s="7" t="n">
        <f aca="false">E97+Annahmen!$B$12*(C98*Annahmen!$B$11*(D98/100)-E97)</f>
        <v>7.53378056029331E-006</v>
      </c>
      <c r="F98" s="7" t="n">
        <f aca="false">C98*Annahmen!$B$10*(D98/100)</f>
        <v>0</v>
      </c>
      <c r="G98" s="7" t="n">
        <f aca="false">E98*Annahmen!$B$9</f>
        <v>1.50675611205866E-005</v>
      </c>
      <c r="H98" s="7" t="n">
        <f aca="false">Annahmen!$B$18*Annahmen!$B$20*Annahmen!$B$19+Annahmen!$B$21+C98*Annahmen!$B$22</f>
        <v>90.6857096983746</v>
      </c>
      <c r="I98" s="7" t="n">
        <f aca="false">F98+G98-H98</f>
        <v>-90.6856946308135</v>
      </c>
      <c r="J98" s="7" t="n">
        <f aca="false">J97+I98</f>
        <v>-7789.67428655259</v>
      </c>
      <c r="K98" s="7" t="n">
        <f aca="false">AVERAGE(B93:B97)</f>
        <v>5</v>
      </c>
      <c r="L98" s="7" t="n">
        <f aca="false">ABS(B98-K98)</f>
        <v>0</v>
      </c>
    </row>
    <row r="99" customFormat="false" ht="15" hidden="false" customHeight="false" outlineLevel="0" collapsed="false">
      <c r="A99" s="0" t="n">
        <v>98</v>
      </c>
      <c r="B99" s="6" t="n">
        <v>5</v>
      </c>
      <c r="C99" s="7" t="n">
        <f aca="false">C98*(1-Annahmen!$B$13)+Annahmen!$B$15*(1+(B99-3)/2*Annahmen!$B$16)*(1+Annahmen!$B$25*(L99-Annahmen!$B$26))</f>
        <v>369.01384074234</v>
      </c>
      <c r="D99" s="7" t="n">
        <f aca="false">MIN(100,MAX(0,D98-Annahmen!$B$17*(B99-3)-Annahmen!$B$14*(D98-50)+Annahmen!$B$27*(L99-Annahmen!$B$26)))</f>
        <v>0</v>
      </c>
      <c r="E99" s="7" t="n">
        <f aca="false">E98+Annahmen!$B$12*(C99*Annahmen!$B$11*(D99/100)-E98)</f>
        <v>6.40371347624931E-006</v>
      </c>
      <c r="F99" s="7" t="n">
        <f aca="false">C99*Annahmen!$B$10*(D99/100)</f>
        <v>0</v>
      </c>
      <c r="G99" s="7" t="n">
        <f aca="false">E99*Annahmen!$B$9</f>
        <v>1.28074269524986E-005</v>
      </c>
      <c r="H99" s="7" t="n">
        <f aca="false">Annahmen!$B$18*Annahmen!$B$20*Annahmen!$B$19+Annahmen!$B$21+C99*Annahmen!$B$22</f>
        <v>90.6901384074234</v>
      </c>
      <c r="I99" s="7" t="n">
        <f aca="false">F99+G99-H99</f>
        <v>-90.6901255999965</v>
      </c>
      <c r="J99" s="7" t="n">
        <f aca="false">J98+I99</f>
        <v>-7880.36441215259</v>
      </c>
      <c r="K99" s="7" t="n">
        <f aca="false">AVERAGE(B94:B98)</f>
        <v>5</v>
      </c>
      <c r="L99" s="7" t="n">
        <f aca="false">ABS(B99-K99)</f>
        <v>0</v>
      </c>
    </row>
    <row r="100" customFormat="false" ht="15" hidden="false" customHeight="false" outlineLevel="0" collapsed="false">
      <c r="A100" s="0" t="n">
        <v>99</v>
      </c>
      <c r="B100" s="6" t="n">
        <v>5</v>
      </c>
      <c r="C100" s="7" t="n">
        <f aca="false">C99*(1-Annahmen!$B$13)+Annahmen!$B$15*(1+(B100-3)/2*Annahmen!$B$16)*(1+Annahmen!$B$25*(L100-Annahmen!$B$26))</f>
        <v>369.44342552007</v>
      </c>
      <c r="D100" s="7" t="n">
        <f aca="false">MIN(100,MAX(0,D99-Annahmen!$B$17*(B100-3)-Annahmen!$B$14*(D99-50)+Annahmen!$B$27*(L100-Annahmen!$B$26)))</f>
        <v>0</v>
      </c>
      <c r="E100" s="7" t="n">
        <f aca="false">E99+Annahmen!$B$12*(C100*Annahmen!$B$11*(D100/100)-E99)</f>
        <v>5.44315645481192E-006</v>
      </c>
      <c r="F100" s="7" t="n">
        <f aca="false">C100*Annahmen!$B$10*(D100/100)</f>
        <v>0</v>
      </c>
      <c r="G100" s="7" t="n">
        <f aca="false">E100*Annahmen!$B$9</f>
        <v>1.08863129096238E-005</v>
      </c>
      <c r="H100" s="7" t="n">
        <f aca="false">Annahmen!$B$18*Annahmen!$B$20*Annahmen!$B$19+Annahmen!$B$21+C100*Annahmen!$B$22</f>
        <v>90.6944342552007</v>
      </c>
      <c r="I100" s="7" t="n">
        <f aca="false">F100+G100-H100</f>
        <v>-90.6944233688878</v>
      </c>
      <c r="J100" s="7" t="n">
        <f aca="false">J99+I100</f>
        <v>-7971.05883552147</v>
      </c>
      <c r="K100" s="7" t="n">
        <f aca="false">AVERAGE(B95:B99)</f>
        <v>5</v>
      </c>
      <c r="L100" s="7" t="n">
        <f aca="false">ABS(B100-K100)</f>
        <v>0</v>
      </c>
    </row>
    <row r="101" customFormat="false" ht="15" hidden="false" customHeight="false" outlineLevel="0" collapsed="false">
      <c r="A101" s="0" t="n">
        <v>100</v>
      </c>
      <c r="B101" s="6" t="n">
        <v>5</v>
      </c>
      <c r="C101" s="7" t="n">
        <f aca="false">C100*(1-Annahmen!$B$13)+Annahmen!$B$15*(1+(B101-3)/2*Annahmen!$B$16)*(1+Annahmen!$B$25*(L101-Annahmen!$B$26))</f>
        <v>369.860122754468</v>
      </c>
      <c r="D101" s="7" t="n">
        <f aca="false">MIN(100,MAX(0,D100-Annahmen!$B$17*(B101-3)-Annahmen!$B$14*(D100-50)+Annahmen!$B$27*(L101-Annahmen!$B$26)))</f>
        <v>0</v>
      </c>
      <c r="E101" s="7" t="n">
        <f aca="false">E100+Annahmen!$B$12*(C101*Annahmen!$B$11*(D101/100)-E100)</f>
        <v>4.62668298659013E-006</v>
      </c>
      <c r="F101" s="7" t="n">
        <f aca="false">C101*Annahmen!$B$10*(D101/100)</f>
        <v>0</v>
      </c>
      <c r="G101" s="7" t="n">
        <f aca="false">E101*Annahmen!$B$9</f>
        <v>9.25336597318026E-006</v>
      </c>
      <c r="H101" s="7" t="n">
        <f aca="false">Annahmen!$B$18*Annahmen!$B$20*Annahmen!$B$19+Annahmen!$B$21+C101*Annahmen!$B$22</f>
        <v>90.6986012275447</v>
      </c>
      <c r="I101" s="7" t="n">
        <f aca="false">F101+G101-H101</f>
        <v>-90.6985919741787</v>
      </c>
      <c r="J101" s="7" t="n">
        <f aca="false">J100+I101</f>
        <v>-8061.75742749565</v>
      </c>
      <c r="K101" s="7" t="n">
        <f aca="false">AVERAGE(B96:B100)</f>
        <v>5</v>
      </c>
      <c r="L101" s="7" t="n">
        <f aca="false">ABS(B101-K101)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</row>
    <row r="2" customFormat="false" ht="15" hidden="false" customHeight="false" outlineLevel="0" collapsed="false">
      <c r="A2" s="0" t="n">
        <v>1</v>
      </c>
      <c r="B2" s="6" t="n">
        <v>1</v>
      </c>
      <c r="C2" s="7" t="n">
        <f aca="false">Annahmen!$B$6*(1-Annahmen!$B$13)+Annahmen!$B$15*(1+(B2-3)/2*Annahmen!$B$16)*(1+Annahmen!$B$25*(L2-Annahmen!$B$26))</f>
        <v>105.5</v>
      </c>
      <c r="D2" s="7" t="n">
        <f aca="false">MIN(100,MAX(0,Annahmen!$B$7-Annahmen!$B$17*(B2-3)-Annahmen!$B$14*(Annahmen!$B$7-50)+Annahmen!$B$27*(L2-Annahmen!$B$26)))</f>
        <v>50.5</v>
      </c>
      <c r="E2" s="7" t="n">
        <f aca="false">Annahmen!$B$8+Annahmen!$B$12*(C2*Annahmen!$B$11*(D2/100)-Annahmen!$B$8)</f>
        <v>19.3974875</v>
      </c>
      <c r="F2" s="7" t="n">
        <f aca="false">C2*Annahmen!$B$10*(D2/100)</f>
        <v>2.663875</v>
      </c>
      <c r="G2" s="7" t="n">
        <f aca="false">E2*Annahmen!$B$9</f>
        <v>38.794975</v>
      </c>
      <c r="H2" s="7" t="n">
        <f aca="false">Annahmen!$B$18*Annahmen!$B$20*Annahmen!$B$19+Annahmen!$B$21+C2*Annahmen!$B$22</f>
        <v>88.055</v>
      </c>
      <c r="I2" s="7" t="n">
        <f aca="false">F2+G2-H2</f>
        <v>-46.59615</v>
      </c>
      <c r="J2" s="7" t="n">
        <f aca="false">Annahmen!$B$5+I2</f>
        <v>453.40385</v>
      </c>
      <c r="K2" s="0" t="n">
        <v>0</v>
      </c>
      <c r="L2" s="0" t="n">
        <v>0</v>
      </c>
    </row>
    <row r="3" customFormat="false" ht="15" hidden="false" customHeight="false" outlineLevel="0" collapsed="false">
      <c r="A3" s="0" t="n">
        <v>2</v>
      </c>
      <c r="B3" s="6" t="n">
        <v>1</v>
      </c>
      <c r="C3" s="7" t="n">
        <f aca="false">C2*(1-Annahmen!$B$13)+Annahmen!$B$15*(1+(B3-3)/2*Annahmen!$B$16)*(1+Annahmen!$B$25*(L3-Annahmen!$B$26))</f>
        <v>110.835</v>
      </c>
      <c r="D3" s="7" t="n">
        <f aca="false">MIN(100,MAX(0,D2-Annahmen!$B$17*(B3-3)-Annahmen!$B$14*(D2-50)+Annahmen!$B$27*(L3-Annahmen!$B$26)))</f>
        <v>50.975</v>
      </c>
      <c r="E3" s="7" t="n">
        <f aca="false">E2+Annahmen!$B$12*(C3*Annahmen!$B$11*(D3/100)-E2)</f>
        <v>19.03028073125</v>
      </c>
      <c r="F3" s="7" t="n">
        <f aca="false">C3*Annahmen!$B$10*(D3/100)</f>
        <v>2.8249070625</v>
      </c>
      <c r="G3" s="7" t="n">
        <f aca="false">E3*Annahmen!$B$9</f>
        <v>38.0605614625</v>
      </c>
      <c r="H3" s="7" t="n">
        <f aca="false">Annahmen!$B$18*Annahmen!$B$20*Annahmen!$B$19+Annahmen!$B$21+C3*Annahmen!$B$22</f>
        <v>88.10835</v>
      </c>
      <c r="I3" s="7" t="n">
        <f aca="false">F3+G3-H3</f>
        <v>-47.222881475</v>
      </c>
      <c r="J3" s="7" t="n">
        <f aca="false">J2+I3</f>
        <v>406.180968525</v>
      </c>
      <c r="K3" s="7" t="n">
        <f aca="false">AVERAGE(B2:B2)</f>
        <v>1</v>
      </c>
      <c r="L3" s="7" t="n">
        <f aca="false">ABS(B3-K3)</f>
        <v>0</v>
      </c>
    </row>
    <row r="4" customFormat="false" ht="15" hidden="false" customHeight="false" outlineLevel="0" collapsed="false">
      <c r="A4" s="0" t="n">
        <v>3</v>
      </c>
      <c r="B4" s="6" t="n">
        <v>1</v>
      </c>
      <c r="C4" s="7" t="n">
        <f aca="false">C3*(1-Annahmen!$B$13)+Annahmen!$B$15*(1+(B4-3)/2*Annahmen!$B$16)*(1+Annahmen!$B$25*(L4-Annahmen!$B$26))</f>
        <v>116.00995</v>
      </c>
      <c r="D4" s="7" t="n">
        <f aca="false">MIN(100,MAX(0,D3-Annahmen!$B$17*(B4-3)-Annahmen!$B$14*(D3-50)+Annahmen!$B$27*(L4-Annahmen!$B$26)))</f>
        <v>51.42625</v>
      </c>
      <c r="E4" s="7" t="n">
        <f aca="false">E3+Annahmen!$B$12*(C4*Annahmen!$B$11*(D4/100)-E3)</f>
        <v>18.8604191325969</v>
      </c>
      <c r="F4" s="7" t="n">
        <f aca="false">C4*Annahmen!$B$10*(D4/100)</f>
        <v>2.98297834559375</v>
      </c>
      <c r="G4" s="7" t="n">
        <f aca="false">E4*Annahmen!$B$9</f>
        <v>37.7208382651938</v>
      </c>
      <c r="H4" s="7" t="n">
        <f aca="false">Annahmen!$B$18*Annahmen!$B$20*Annahmen!$B$19+Annahmen!$B$21+C4*Annahmen!$B$22</f>
        <v>88.1600995</v>
      </c>
      <c r="I4" s="7" t="n">
        <f aca="false">F4+G4-H4</f>
        <v>-47.4562828892125</v>
      </c>
      <c r="J4" s="7" t="n">
        <f aca="false">J3+I4</f>
        <v>358.724685635787</v>
      </c>
      <c r="K4" s="7" t="n">
        <f aca="false">AVERAGE(B2:B3)</f>
        <v>1</v>
      </c>
      <c r="L4" s="7" t="n">
        <f aca="false">ABS(B4-K4)</f>
        <v>0</v>
      </c>
    </row>
    <row r="5" customFormat="false" ht="15" hidden="false" customHeight="false" outlineLevel="0" collapsed="false">
      <c r="A5" s="0" t="n">
        <v>4</v>
      </c>
      <c r="B5" s="6" t="n">
        <v>1</v>
      </c>
      <c r="C5" s="7" t="n">
        <f aca="false">C4*(1-Annahmen!$B$13)+Annahmen!$B$15*(1+(B5-3)/2*Annahmen!$B$16)*(1+Annahmen!$B$25*(L5-Annahmen!$B$26))</f>
        <v>121.0296515</v>
      </c>
      <c r="D5" s="7" t="n">
        <f aca="false">MIN(100,MAX(0,D4-Annahmen!$B$17*(B5-3)-Annahmen!$B$14*(D4-50)+Annahmen!$B$27*(L5-Annahmen!$B$26)))</f>
        <v>51.8549375</v>
      </c>
      <c r="E5" s="7" t="n">
        <f aca="false">E4+Annahmen!$B$12*(C5*Annahmen!$B$11*(D5/100)-E4)</f>
        <v>18.855549519088</v>
      </c>
      <c r="F5" s="7" t="n">
        <f aca="false">C5*Annahmen!$B$10*(D5/100)</f>
        <v>3.13799250708964</v>
      </c>
      <c r="G5" s="7" t="n">
        <f aca="false">E5*Annahmen!$B$9</f>
        <v>37.711099038176</v>
      </c>
      <c r="H5" s="7" t="n">
        <f aca="false">Annahmen!$B$18*Annahmen!$B$20*Annahmen!$B$19+Annahmen!$B$21+C5*Annahmen!$B$22</f>
        <v>88.210296515</v>
      </c>
      <c r="I5" s="7" t="n">
        <f aca="false">F5+G5-H5</f>
        <v>-47.3612049697343</v>
      </c>
      <c r="J5" s="7" t="n">
        <f aca="false">J4+I5</f>
        <v>311.363480666053</v>
      </c>
      <c r="K5" s="7" t="n">
        <f aca="false">AVERAGE(B2:B4)</f>
        <v>1</v>
      </c>
      <c r="L5" s="7" t="n">
        <f aca="false">ABS(B5-K5)</f>
        <v>0</v>
      </c>
    </row>
    <row r="6" customFormat="false" ht="15" hidden="false" customHeight="false" outlineLevel="0" collapsed="false">
      <c r="A6" s="0" t="n">
        <v>5</v>
      </c>
      <c r="B6" s="6" t="n">
        <v>1</v>
      </c>
      <c r="C6" s="7" t="n">
        <f aca="false">C5*(1-Annahmen!$B$13)+Annahmen!$B$15*(1+(B6-3)/2*Annahmen!$B$16)*(1+Annahmen!$B$25*(L6-Annahmen!$B$26))</f>
        <v>125.898761955</v>
      </c>
      <c r="D6" s="7" t="n">
        <f aca="false">MIN(100,MAX(0,D5-Annahmen!$B$17*(B6-3)-Annahmen!$B$14*(D5-50)+Annahmen!$B$27*(L6-Annahmen!$B$26)))</f>
        <v>52.262190625</v>
      </c>
      <c r="E6" s="7" t="n">
        <f aca="false">E5+Annahmen!$B$12*(C6*Annahmen!$B$11*(D6/100)-E5)</f>
        <v>18.9881023847595</v>
      </c>
      <c r="F6" s="7" t="n">
        <f aca="false">C6*Annahmen!$B$10*(D6/100)</f>
        <v>3.28987254837185</v>
      </c>
      <c r="G6" s="7" t="n">
        <f aca="false">E6*Annahmen!$B$9</f>
        <v>37.976204769519</v>
      </c>
      <c r="H6" s="7" t="n">
        <f aca="false">Annahmen!$B$18*Annahmen!$B$20*Annahmen!$B$19+Annahmen!$B$21+C6*Annahmen!$B$22</f>
        <v>88.25898761955</v>
      </c>
      <c r="I6" s="7" t="n">
        <f aca="false">F6+G6-H6</f>
        <v>-46.9929103016592</v>
      </c>
      <c r="J6" s="7" t="n">
        <f aca="false">J5+I6</f>
        <v>264.370570364394</v>
      </c>
      <c r="K6" s="7" t="n">
        <f aca="false">AVERAGE(B2:B5)</f>
        <v>1</v>
      </c>
      <c r="L6" s="7" t="n">
        <f aca="false">ABS(B6-K6)</f>
        <v>0</v>
      </c>
    </row>
    <row r="7" customFormat="false" ht="15" hidden="false" customHeight="false" outlineLevel="0" collapsed="false">
      <c r="A7" s="0" t="n">
        <v>6</v>
      </c>
      <c r="B7" s="6" t="n">
        <v>1</v>
      </c>
      <c r="C7" s="7" t="n">
        <f aca="false">C6*(1-Annahmen!$B$13)+Annahmen!$B$15*(1+(B7-3)/2*Annahmen!$B$16)*(1+Annahmen!$B$25*(L7-Annahmen!$B$26))</f>
        <v>130.62179909635</v>
      </c>
      <c r="D7" s="7" t="n">
        <f aca="false">MIN(100,MAX(0,D6-Annahmen!$B$17*(B7-3)-Annahmen!$B$14*(D6-50)+Annahmen!$B$27*(L7-Annahmen!$B$26)))</f>
        <v>52.64908109375</v>
      </c>
      <c r="E7" s="7" t="n">
        <f aca="false">E6+Annahmen!$B$12*(C7*Annahmen!$B$11*(D7/100)-E6)</f>
        <v>19.2345899890014</v>
      </c>
      <c r="F7" s="7" t="n">
        <f aca="false">C7*Annahmen!$B$10*(D7/100)</f>
        <v>3.43855884661763</v>
      </c>
      <c r="G7" s="7" t="n">
        <f aca="false">E7*Annahmen!$B$9</f>
        <v>38.4691799780029</v>
      </c>
      <c r="H7" s="7" t="n">
        <f aca="false">Annahmen!$B$18*Annahmen!$B$20*Annahmen!$B$19+Annahmen!$B$21+C7*Annahmen!$B$22</f>
        <v>88.3062179909635</v>
      </c>
      <c r="I7" s="7" t="n">
        <f aca="false">F7+G7-H7</f>
        <v>-46.398479166343</v>
      </c>
      <c r="J7" s="7" t="n">
        <f aca="false">J6+I7</f>
        <v>217.972091198051</v>
      </c>
      <c r="K7" s="7" t="n">
        <f aca="false">AVERAGE(B2:B6)</f>
        <v>1</v>
      </c>
      <c r="L7" s="7" t="n">
        <f aca="false">ABS(B7-K7)</f>
        <v>0</v>
      </c>
    </row>
    <row r="8" customFormat="false" ht="15" hidden="false" customHeight="false" outlineLevel="0" collapsed="false">
      <c r="A8" s="0" t="n">
        <v>7</v>
      </c>
      <c r="B8" s="6" t="n">
        <v>1</v>
      </c>
      <c r="C8" s="7" t="n">
        <f aca="false">C7*(1-Annahmen!$B$13)+Annahmen!$B$15*(1+(B8-3)/2*Annahmen!$B$16)*(1+Annahmen!$B$25*(L8-Annahmen!$B$26))</f>
        <v>135.203145123459</v>
      </c>
      <c r="D8" s="7" t="n">
        <f aca="false">MIN(100,MAX(0,D7-Annahmen!$B$17*(B8-3)-Annahmen!$B$14*(D7-50)+Annahmen!$B$27*(L8-Annahmen!$B$26)))</f>
        <v>53.0166270390625</v>
      </c>
      <c r="E8" s="7" t="n">
        <f aca="false">E7+Annahmen!$B$12*(C8*Annahmen!$B$11*(D8/100)-E7)</f>
        <v>19.5750081144346</v>
      </c>
      <c r="F8" s="7" t="n">
        <f aca="false">C8*Annahmen!$B$10*(D8/100)</f>
        <v>3.58400735975935</v>
      </c>
      <c r="G8" s="7" t="n">
        <f aca="false">E8*Annahmen!$B$9</f>
        <v>39.1500162288693</v>
      </c>
      <c r="H8" s="7" t="n">
        <f aca="false">Annahmen!$B$18*Annahmen!$B$20*Annahmen!$B$19+Annahmen!$B$21+C8*Annahmen!$B$22</f>
        <v>88.3520314512346</v>
      </c>
      <c r="I8" s="7" t="n">
        <f aca="false">F8+G8-H8</f>
        <v>-45.618007862606</v>
      </c>
      <c r="J8" s="7" t="n">
        <f aca="false">J7+I8</f>
        <v>172.354083335445</v>
      </c>
      <c r="K8" s="7" t="n">
        <f aca="false">AVERAGE(B3:B7)</f>
        <v>1</v>
      </c>
      <c r="L8" s="7" t="n">
        <f aca="false">ABS(B8-K8)</f>
        <v>0</v>
      </c>
    </row>
    <row r="9" customFormat="false" ht="15" hidden="false" customHeight="false" outlineLevel="0" collapsed="false">
      <c r="A9" s="0" t="n">
        <v>8</v>
      </c>
      <c r="B9" s="6" t="n">
        <v>1</v>
      </c>
      <c r="C9" s="7" t="n">
        <f aca="false">C8*(1-Annahmen!$B$13)+Annahmen!$B$15*(1+(B9-3)/2*Annahmen!$B$16)*(1+Annahmen!$B$25*(L9-Annahmen!$B$26))</f>
        <v>139.647050769756</v>
      </c>
      <c r="D9" s="7" t="n">
        <f aca="false">MIN(100,MAX(0,D8-Annahmen!$B$17*(B9-3)-Annahmen!$B$14*(D8-50)+Annahmen!$B$27*(L9-Annahmen!$B$26)))</f>
        <v>53.3657956871094</v>
      </c>
      <c r="E9" s="7" t="n">
        <f aca="false">E8+Annahmen!$B$12*(C9*Annahmen!$B$11*(D9/100)-E8)</f>
        <v>19.9923260881282</v>
      </c>
      <c r="F9" s="7" t="n">
        <f aca="false">C9*Annahmen!$B$10*(D9/100)</f>
        <v>3.72618798984309</v>
      </c>
      <c r="G9" s="7" t="n">
        <f aca="false">E9*Annahmen!$B$9</f>
        <v>39.9846521762564</v>
      </c>
      <c r="H9" s="7" t="n">
        <f aca="false">Annahmen!$B$18*Annahmen!$B$20*Annahmen!$B$19+Annahmen!$B$21+C9*Annahmen!$B$22</f>
        <v>88.3964705076976</v>
      </c>
      <c r="I9" s="7" t="n">
        <f aca="false">F9+G9-H9</f>
        <v>-44.6856303415981</v>
      </c>
      <c r="J9" s="7" t="n">
        <f aca="false">J8+I9</f>
        <v>127.668452993847</v>
      </c>
      <c r="K9" s="7" t="n">
        <f aca="false">AVERAGE(B4:B8)</f>
        <v>1</v>
      </c>
      <c r="L9" s="7" t="n">
        <f aca="false">ABS(B9-K9)</f>
        <v>0</v>
      </c>
    </row>
    <row r="10" customFormat="false" ht="15" hidden="false" customHeight="false" outlineLevel="0" collapsed="false">
      <c r="A10" s="0" t="n">
        <v>9</v>
      </c>
      <c r="B10" s="6" t="n">
        <v>1</v>
      </c>
      <c r="C10" s="7" t="n">
        <f aca="false">C9*(1-Annahmen!$B$13)+Annahmen!$B$15*(1+(B10-3)/2*Annahmen!$B$16)*(1+Annahmen!$B$25*(L10-Annahmen!$B$26))</f>
        <v>143.957639246663</v>
      </c>
      <c r="D10" s="7" t="n">
        <f aca="false">MIN(100,MAX(0,D9-Annahmen!$B$17*(B10-3)-Annahmen!$B$14*(D9-50)+Annahmen!$B$27*(L10-Annahmen!$B$26)))</f>
        <v>53.6975059027539</v>
      </c>
      <c r="E10" s="7" t="n">
        <f aca="false">E9+Annahmen!$B$12*(C10*Annahmen!$B$11*(D10/100)-E9)</f>
        <v>20.4720519573464</v>
      </c>
      <c r="F10" s="7" t="n">
        <f aca="false">C10*Annahmen!$B$10*(D10/100)</f>
        <v>3.8650830915971</v>
      </c>
      <c r="G10" s="7" t="n">
        <f aca="false">E10*Annahmen!$B$9</f>
        <v>40.9441039146927</v>
      </c>
      <c r="H10" s="7" t="n">
        <f aca="false">Annahmen!$B$18*Annahmen!$B$20*Annahmen!$B$19+Annahmen!$B$21+C10*Annahmen!$B$22</f>
        <v>88.4395763924666</v>
      </c>
      <c r="I10" s="7" t="n">
        <f aca="false">F10+G10-H10</f>
        <v>-43.6303893861768</v>
      </c>
      <c r="J10" s="7" t="n">
        <f aca="false">J9+I10</f>
        <v>84.0380636076701</v>
      </c>
      <c r="K10" s="7" t="n">
        <f aca="false">AVERAGE(B5:B9)</f>
        <v>1</v>
      </c>
      <c r="L10" s="7" t="n">
        <f aca="false">ABS(B10-K10)</f>
        <v>0</v>
      </c>
    </row>
    <row r="11" customFormat="false" ht="15" hidden="false" customHeight="false" outlineLevel="0" collapsed="false">
      <c r="A11" s="0" t="n">
        <v>10</v>
      </c>
      <c r="B11" s="6" t="n">
        <v>1</v>
      </c>
      <c r="C11" s="7" t="n">
        <f aca="false">C10*(1-Annahmen!$B$13)+Annahmen!$B$15*(1+(B11-3)/2*Annahmen!$B$16)*(1+Annahmen!$B$25*(L11-Annahmen!$B$26))</f>
        <v>148.138910069263</v>
      </c>
      <c r="D11" s="7" t="n">
        <f aca="false">MIN(100,MAX(0,D10-Annahmen!$B$17*(B11-3)-Annahmen!$B$14*(D10-50)+Annahmen!$B$27*(L11-Annahmen!$B$26)))</f>
        <v>54.0126306076162</v>
      </c>
      <c r="E11" s="7" t="n">
        <f aca="false">E10+Annahmen!$B$12*(C11*Annahmen!$B$11*(D11/100)-E10)</f>
        <v>21.0018616664281</v>
      </c>
      <c r="F11" s="7" t="n">
        <f aca="false">C11*Annahmen!$B$10*(D11/100)</f>
        <v>4.00068611409299</v>
      </c>
      <c r="G11" s="7" t="n">
        <f aca="false">E11*Annahmen!$B$9</f>
        <v>42.0037233328562</v>
      </c>
      <c r="H11" s="7" t="n">
        <f aca="false">Annahmen!$B$18*Annahmen!$B$20*Annahmen!$B$19+Annahmen!$B$21+C11*Annahmen!$B$22</f>
        <v>88.4813891006926</v>
      </c>
      <c r="I11" s="7" t="n">
        <f aca="false">F11+G11-H11</f>
        <v>-42.4769796537434</v>
      </c>
      <c r="J11" s="7" t="n">
        <f aca="false">J10+I11</f>
        <v>41.5610839539267</v>
      </c>
      <c r="K11" s="7" t="n">
        <f aca="false">AVERAGE(B6:B10)</f>
        <v>1</v>
      </c>
      <c r="L11" s="7" t="n">
        <f aca="false">ABS(B11-K11)</f>
        <v>0</v>
      </c>
    </row>
    <row r="12" customFormat="false" ht="15" hidden="false" customHeight="false" outlineLevel="0" collapsed="false">
      <c r="A12" s="0" t="n">
        <v>11</v>
      </c>
      <c r="B12" s="6" t="n">
        <v>1</v>
      </c>
      <c r="C12" s="7" t="n">
        <f aca="false">C11*(1-Annahmen!$B$13)+Annahmen!$B$15*(1+(B12-3)/2*Annahmen!$B$16)*(1+Annahmen!$B$25*(L12-Annahmen!$B$26))</f>
        <v>152.194742767185</v>
      </c>
      <c r="D12" s="7" t="n">
        <f aca="false">MIN(100,MAX(0,D11-Annahmen!$B$17*(B12-3)-Annahmen!$B$14*(D11-50)+Annahmen!$B$27*(L12-Annahmen!$B$26)))</f>
        <v>54.3119990772354</v>
      </c>
      <c r="E12" s="7" t="n">
        <f aca="false">E11+Annahmen!$B$12*(C12*Annahmen!$B$11*(D12/100)-E11)</f>
        <v>21.571282744393</v>
      </c>
      <c r="F12" s="7" t="n">
        <f aca="false">C12*Annahmen!$B$10*(D12/100)</f>
        <v>4.13300036436572</v>
      </c>
      <c r="G12" s="7" t="n">
        <f aca="false">E12*Annahmen!$B$9</f>
        <v>43.1425654887861</v>
      </c>
      <c r="H12" s="7" t="n">
        <f aca="false">Annahmen!$B$18*Annahmen!$B$20*Annahmen!$B$19+Annahmen!$B$21+C12*Annahmen!$B$22</f>
        <v>88.5219474276719</v>
      </c>
      <c r="I12" s="7" t="n">
        <f aca="false">F12+G12-H12</f>
        <v>-41.2463815745201</v>
      </c>
      <c r="J12" s="7" t="n">
        <f aca="false">J11+I12</f>
        <v>0.314702379406612</v>
      </c>
      <c r="K12" s="7" t="n">
        <f aca="false">AVERAGE(B7:B11)</f>
        <v>1</v>
      </c>
      <c r="L12" s="7" t="n">
        <f aca="false">ABS(B12-K12)</f>
        <v>0</v>
      </c>
    </row>
    <row r="13" customFormat="false" ht="15" hidden="false" customHeight="false" outlineLevel="0" collapsed="false">
      <c r="A13" s="0" t="n">
        <v>12</v>
      </c>
      <c r="B13" s="6" t="n">
        <v>1</v>
      </c>
      <c r="C13" s="7" t="n">
        <f aca="false">C12*(1-Annahmen!$B$13)+Annahmen!$B$15*(1+(B13-3)/2*Annahmen!$B$16)*(1+Annahmen!$B$25*(L13-Annahmen!$B$26))</f>
        <v>156.12890048417</v>
      </c>
      <c r="D13" s="7" t="n">
        <f aca="false">MIN(100,MAX(0,D12-Annahmen!$B$17*(B13-3)-Annahmen!$B$14*(D12-50)+Annahmen!$B$27*(L13-Annahmen!$B$26)))</f>
        <v>54.5963991233736</v>
      </c>
      <c r="E13" s="7" t="n">
        <f aca="false">E12+Annahmen!$B$12*(C13*Annahmen!$B$11*(D13/100)-E12)</f>
        <v>22.1714244272213</v>
      </c>
      <c r="F13" s="7" t="n">
        <f aca="false">C13*Annahmen!$B$10*(D13/100)</f>
        <v>4.26203788276361</v>
      </c>
      <c r="G13" s="7" t="n">
        <f aca="false">E13*Annahmen!$B$9</f>
        <v>44.3428488544427</v>
      </c>
      <c r="H13" s="7" t="n">
        <f aca="false">Annahmen!$B$18*Annahmen!$B$20*Annahmen!$B$19+Annahmen!$B$21+C13*Annahmen!$B$22</f>
        <v>88.5612890048417</v>
      </c>
      <c r="I13" s="7" t="n">
        <f aca="false">F13+G13-H13</f>
        <v>-39.9564022676354</v>
      </c>
      <c r="J13" s="7" t="n">
        <f aca="false">J12+I13</f>
        <v>-39.6416998882288</v>
      </c>
      <c r="K13" s="7" t="n">
        <f aca="false">AVERAGE(B8:B12)</f>
        <v>1</v>
      </c>
      <c r="L13" s="7" t="n">
        <f aca="false">ABS(B13-K13)</f>
        <v>0</v>
      </c>
    </row>
    <row r="14" customFormat="false" ht="15" hidden="false" customHeight="false" outlineLevel="0" collapsed="false">
      <c r="A14" s="0" t="n">
        <v>13</v>
      </c>
      <c r="B14" s="6" t="n">
        <v>1</v>
      </c>
      <c r="C14" s="7" t="n">
        <f aca="false">C13*(1-Annahmen!$B$13)+Annahmen!$B$15*(1+(B14-3)/2*Annahmen!$B$16)*(1+Annahmen!$B$25*(L14-Annahmen!$B$26))</f>
        <v>159.945033469645</v>
      </c>
      <c r="D14" s="7" t="n">
        <f aca="false">MIN(100,MAX(0,D13-Annahmen!$B$17*(B14-3)-Annahmen!$B$14*(D13-50)+Annahmen!$B$27*(L14-Annahmen!$B$26)))</f>
        <v>54.866579167205</v>
      </c>
      <c r="E14" s="7" t="n">
        <f aca="false">E13+Annahmen!$B$12*(C14*Annahmen!$B$11*(D14/100)-E13)</f>
        <v>22.7947473417067</v>
      </c>
      <c r="F14" s="7" t="n">
        <f aca="false">C14*Annahmen!$B$10*(D14/100)</f>
        <v>4.38781842063175</v>
      </c>
      <c r="G14" s="7" t="n">
        <f aca="false">E14*Annahmen!$B$9</f>
        <v>45.5894946834134</v>
      </c>
      <c r="H14" s="7" t="n">
        <f aca="false">Annahmen!$B$18*Annahmen!$B$20*Annahmen!$B$19+Annahmen!$B$21+C14*Annahmen!$B$22</f>
        <v>88.5994503346964</v>
      </c>
      <c r="I14" s="7" t="n">
        <f aca="false">F14+G14-H14</f>
        <v>-38.6221372306513</v>
      </c>
      <c r="J14" s="7" t="n">
        <f aca="false">J13+I14</f>
        <v>-78.2638371188801</v>
      </c>
      <c r="K14" s="7" t="n">
        <f aca="false">AVERAGE(B9:B13)</f>
        <v>1</v>
      </c>
      <c r="L14" s="7" t="n">
        <f aca="false">ABS(B14-K14)</f>
        <v>0</v>
      </c>
    </row>
    <row r="15" customFormat="false" ht="15" hidden="false" customHeight="false" outlineLevel="0" collapsed="false">
      <c r="A15" s="0" t="n">
        <v>14</v>
      </c>
      <c r="B15" s="6" t="n">
        <v>1</v>
      </c>
      <c r="C15" s="7" t="n">
        <f aca="false">C14*(1-Annahmen!$B$13)+Annahmen!$B$15*(1+(B15-3)/2*Annahmen!$B$16)*(1+Annahmen!$B$25*(L15-Annahmen!$B$26))</f>
        <v>163.646682465555</v>
      </c>
      <c r="D15" s="7" t="n">
        <f aca="false">MIN(100,MAX(0,D14-Annahmen!$B$17*(B15-3)-Annahmen!$B$14*(D14-50)+Annahmen!$B$27*(L15-Annahmen!$B$26)))</f>
        <v>55.1232502088447</v>
      </c>
      <c r="E15" s="7" t="n">
        <f aca="false">E14+Annahmen!$B$12*(C15*Annahmen!$B$11*(D15/100)-E14)</f>
        <v>23.434866900979</v>
      </c>
      <c r="F15" s="7" t="n">
        <f aca="false">C15*Annahmen!$B$10*(D15/100)</f>
        <v>4.51036851169808</v>
      </c>
      <c r="G15" s="7" t="n">
        <f aca="false">E15*Annahmen!$B$9</f>
        <v>46.8697338019579</v>
      </c>
      <c r="H15" s="7" t="n">
        <f aca="false">Annahmen!$B$18*Annahmen!$B$20*Annahmen!$B$19+Annahmen!$B$21+C15*Annahmen!$B$22</f>
        <v>88.6364668246556</v>
      </c>
      <c r="I15" s="7" t="n">
        <f aca="false">F15+G15-H15</f>
        <v>-37.2563645109995</v>
      </c>
      <c r="J15" s="7" t="n">
        <f aca="false">J14+I15</f>
        <v>-115.52020162988</v>
      </c>
      <c r="K15" s="7" t="n">
        <f aca="false">AVERAGE(B10:B14)</f>
        <v>1</v>
      </c>
      <c r="L15" s="7" t="n">
        <f aca="false">ABS(B15-K15)</f>
        <v>0</v>
      </c>
    </row>
    <row r="16" customFormat="false" ht="15" hidden="false" customHeight="false" outlineLevel="0" collapsed="false">
      <c r="A16" s="0" t="n">
        <v>15</v>
      </c>
      <c r="B16" s="6" t="n">
        <v>1</v>
      </c>
      <c r="C16" s="7" t="n">
        <f aca="false">C15*(1-Annahmen!$B$13)+Annahmen!$B$15*(1+(B16-3)/2*Annahmen!$B$16)*(1+Annahmen!$B$25*(L16-Annahmen!$B$26))</f>
        <v>167.237281991589</v>
      </c>
      <c r="D16" s="7" t="n">
        <f aca="false">MIN(100,MAX(0,D15-Annahmen!$B$17*(B16-3)-Annahmen!$B$14*(D15-50)+Annahmen!$B$27*(L16-Annahmen!$B$26)))</f>
        <v>55.3670876984025</v>
      </c>
      <c r="E16" s="7" t="n">
        <f aca="false">E15+Annahmen!$B$12*(C16*Annahmen!$B$11*(D16/100)-E15)</f>
        <v>24.086385432144</v>
      </c>
      <c r="F16" s="7" t="n">
        <f aca="false">C16*Annahmen!$B$10*(D16/100)</f>
        <v>4.62972062923537</v>
      </c>
      <c r="G16" s="7" t="n">
        <f aca="false">E16*Annahmen!$B$9</f>
        <v>48.1727708642879</v>
      </c>
      <c r="H16" s="7" t="n">
        <f aca="false">Annahmen!$B$18*Annahmen!$B$20*Annahmen!$B$19+Annahmen!$B$21+C16*Annahmen!$B$22</f>
        <v>88.6723728199159</v>
      </c>
      <c r="I16" s="7" t="n">
        <f aca="false">F16+G16-H16</f>
        <v>-35.8698813263926</v>
      </c>
      <c r="J16" s="7" t="n">
        <f aca="false">J15+I16</f>
        <v>-151.390082956272</v>
      </c>
      <c r="K16" s="7" t="n">
        <f aca="false">AVERAGE(B11:B15)</f>
        <v>1</v>
      </c>
      <c r="L16" s="7" t="n">
        <f aca="false">ABS(B16-K16)</f>
        <v>0</v>
      </c>
    </row>
    <row r="17" customFormat="false" ht="15" hidden="false" customHeight="false" outlineLevel="0" collapsed="false">
      <c r="A17" s="0" t="n">
        <v>16</v>
      </c>
      <c r="B17" s="6" t="n">
        <v>1</v>
      </c>
      <c r="C17" s="7" t="n">
        <f aca="false">C16*(1-Annahmen!$B$13)+Annahmen!$B$15*(1+(B17-3)/2*Annahmen!$B$16)*(1+Annahmen!$B$25*(L17-Annahmen!$B$26))</f>
        <v>170.720163531841</v>
      </c>
      <c r="D17" s="7" t="n">
        <f aca="false">MIN(100,MAX(0,D16-Annahmen!$B$17*(B17-3)-Annahmen!$B$14*(D16-50)+Annahmen!$B$27*(L17-Annahmen!$B$26)))</f>
        <v>55.5987333134824</v>
      </c>
      <c r="E17" s="7" t="n">
        <f aca="false">E16+Annahmen!$B$12*(C17*Annahmen!$B$11*(D17/100)-E16)</f>
        <v>24.7447487968708</v>
      </c>
      <c r="F17" s="7" t="n">
        <f aca="false">C17*Annahmen!$B$10*(D17/100)</f>
        <v>4.74591242172046</v>
      </c>
      <c r="G17" s="7" t="n">
        <f aca="false">E17*Annahmen!$B$9</f>
        <v>49.4894975937416</v>
      </c>
      <c r="H17" s="7" t="n">
        <f aca="false">Annahmen!$B$18*Annahmen!$B$20*Annahmen!$B$19+Annahmen!$B$21+C17*Annahmen!$B$22</f>
        <v>88.7072016353184</v>
      </c>
      <c r="I17" s="7" t="n">
        <f aca="false">F17+G17-H17</f>
        <v>-34.4717916198564</v>
      </c>
      <c r="J17" s="7" t="n">
        <f aca="false">J16+I17</f>
        <v>-185.861874576129</v>
      </c>
      <c r="K17" s="7" t="n">
        <f aca="false">AVERAGE(B12:B16)</f>
        <v>1</v>
      </c>
      <c r="L17" s="7" t="n">
        <f aca="false">ABS(B17-K17)</f>
        <v>0</v>
      </c>
    </row>
    <row r="18" customFormat="false" ht="15" hidden="false" customHeight="false" outlineLevel="0" collapsed="false">
      <c r="A18" s="0" t="n">
        <v>17</v>
      </c>
      <c r="B18" s="6" t="n">
        <v>1</v>
      </c>
      <c r="C18" s="7" t="n">
        <f aca="false">C17*(1-Annahmen!$B$13)+Annahmen!$B$15*(1+(B18-3)/2*Annahmen!$B$16)*(1+Annahmen!$B$25*(L18-Annahmen!$B$26))</f>
        <v>174.098558625886</v>
      </c>
      <c r="D18" s="7" t="n">
        <f aca="false">MIN(100,MAX(0,D17-Annahmen!$B$17*(B18-3)-Annahmen!$B$14*(D17-50)+Annahmen!$B$27*(L18-Annahmen!$B$26)))</f>
        <v>55.8187966478082</v>
      </c>
      <c r="E18" s="7" t="n">
        <f aca="false">E17+Annahmen!$B$12*(C18*Annahmen!$B$11*(D18/100)-E17)</f>
        <v>25.4061238956168</v>
      </c>
      <c r="F18" s="7" t="n">
        <f aca="false">C18*Annahmen!$B$10*(D18/100)</f>
        <v>4.85898602030742</v>
      </c>
      <c r="G18" s="7" t="n">
        <f aca="false">E18*Annahmen!$B$9</f>
        <v>50.8122477912337</v>
      </c>
      <c r="H18" s="7" t="n">
        <f aca="false">Annahmen!$B$18*Annahmen!$B$20*Annahmen!$B$19+Annahmen!$B$21+C18*Annahmen!$B$22</f>
        <v>88.7409855862589</v>
      </c>
      <c r="I18" s="7" t="n">
        <f aca="false">F18+G18-H18</f>
        <v>-33.0697517747178</v>
      </c>
      <c r="J18" s="7" t="n">
        <f aca="false">J17+I18</f>
        <v>-218.931626350846</v>
      </c>
      <c r="K18" s="7" t="n">
        <f aca="false">AVERAGE(B13:B17)</f>
        <v>1</v>
      </c>
      <c r="L18" s="7" t="n">
        <f aca="false">ABS(B18-K18)</f>
        <v>0</v>
      </c>
    </row>
    <row r="19" customFormat="false" ht="15" hidden="false" customHeight="false" outlineLevel="0" collapsed="false">
      <c r="A19" s="0" t="n">
        <v>18</v>
      </c>
      <c r="B19" s="6" t="n">
        <v>1</v>
      </c>
      <c r="C19" s="7" t="n">
        <f aca="false">C18*(1-Annahmen!$B$13)+Annahmen!$B$15*(1+(B19-3)/2*Annahmen!$B$16)*(1+Annahmen!$B$25*(L19-Annahmen!$B$26))</f>
        <v>177.375601867109</v>
      </c>
      <c r="D19" s="7" t="n">
        <f aca="false">MIN(100,MAX(0,D18-Annahmen!$B$17*(B19-3)-Annahmen!$B$14*(D18-50)+Annahmen!$B$27*(L19-Annahmen!$B$26)))</f>
        <v>56.0278568154178</v>
      </c>
      <c r="E19" s="7" t="n">
        <f aca="false">E18+Annahmen!$B$12*(C19*Annahmen!$B$11*(D19/100)-E18)</f>
        <v>26.0672939820558</v>
      </c>
      <c r="F19" s="7" t="n">
        <f aca="false">C19*Annahmen!$B$10*(D19/100)</f>
        <v>4.96898741197947</v>
      </c>
      <c r="G19" s="7" t="n">
        <f aca="false">E19*Annahmen!$B$9</f>
        <v>52.1345879641117</v>
      </c>
      <c r="H19" s="7" t="n">
        <f aca="false">Annahmen!$B$18*Annahmen!$B$20*Annahmen!$B$19+Annahmen!$B$21+C19*Annahmen!$B$22</f>
        <v>88.7737560186711</v>
      </c>
      <c r="I19" s="7" t="n">
        <f aca="false">F19+G19-H19</f>
        <v>-31.6701806425799</v>
      </c>
      <c r="J19" s="7" t="n">
        <f aca="false">J18+I19</f>
        <v>-250.601806993426</v>
      </c>
      <c r="K19" s="7" t="n">
        <f aca="false">AVERAGE(B14:B18)</f>
        <v>1</v>
      </c>
      <c r="L19" s="7" t="n">
        <f aca="false">ABS(B19-K19)</f>
        <v>0</v>
      </c>
    </row>
    <row r="20" customFormat="false" ht="15" hidden="false" customHeight="false" outlineLevel="0" collapsed="false">
      <c r="A20" s="0" t="n">
        <v>19</v>
      </c>
      <c r="B20" s="6" t="n">
        <v>1</v>
      </c>
      <c r="C20" s="7" t="n">
        <f aca="false">C19*(1-Annahmen!$B$13)+Annahmen!$B$15*(1+(B20-3)/2*Annahmen!$B$16)*(1+Annahmen!$B$25*(L20-Annahmen!$B$26))</f>
        <v>180.554333811096</v>
      </c>
      <c r="D20" s="7" t="n">
        <f aca="false">MIN(100,MAX(0,D19-Annahmen!$B$17*(B20-3)-Annahmen!$B$14*(D19-50)+Annahmen!$B$27*(L20-Annahmen!$B$26)))</f>
        <v>56.2264639746469</v>
      </c>
      <c r="E20" s="7" t="n">
        <f aca="false">E19+Annahmen!$B$12*(C20*Annahmen!$B$11*(D20/100)-E19)</f>
        <v>26.7255691702206</v>
      </c>
      <c r="F20" s="7" t="n">
        <f aca="false">C20*Annahmen!$B$10*(D20/100)</f>
        <v>5.07596587274798</v>
      </c>
      <c r="G20" s="7" t="n">
        <f aca="false">E20*Annahmen!$B$9</f>
        <v>53.4511383404413</v>
      </c>
      <c r="H20" s="7" t="n">
        <f aca="false">Annahmen!$B$18*Annahmen!$B$20*Annahmen!$B$19+Annahmen!$B$21+C20*Annahmen!$B$22</f>
        <v>88.805543338111</v>
      </c>
      <c r="I20" s="7" t="n">
        <f aca="false">F20+G20-H20</f>
        <v>-30.2784391249217</v>
      </c>
      <c r="J20" s="7" t="n">
        <f aca="false">J19+I20</f>
        <v>-280.880246118348</v>
      </c>
      <c r="K20" s="7" t="n">
        <f aca="false">AVERAGE(B15:B19)</f>
        <v>1</v>
      </c>
      <c r="L20" s="7" t="n">
        <f aca="false">ABS(B20-K20)</f>
        <v>0</v>
      </c>
    </row>
    <row r="21" customFormat="false" ht="15" hidden="false" customHeight="false" outlineLevel="0" collapsed="false">
      <c r="A21" s="0" t="n">
        <v>20</v>
      </c>
      <c r="B21" s="6" t="n">
        <v>1</v>
      </c>
      <c r="C21" s="7" t="n">
        <f aca="false">C20*(1-Annahmen!$B$13)+Annahmen!$B$15*(1+(B21-3)/2*Annahmen!$B$16)*(1+Annahmen!$B$25*(L21-Annahmen!$B$26))</f>
        <v>183.637703796763</v>
      </c>
      <c r="D21" s="7" t="n">
        <f aca="false">MIN(100,MAX(0,D20-Annahmen!$B$17*(B21-3)-Annahmen!$B$14*(D20-50)+Annahmen!$B$27*(L21-Annahmen!$B$26)))</f>
        <v>56.4151407759146</v>
      </c>
      <c r="E21" s="7" t="n">
        <f aca="false">E20+Annahmen!$B$12*(C21*Annahmen!$B$11*(D21/100)-E20)</f>
        <v>27.3787099048446</v>
      </c>
      <c r="F21" s="7" t="n">
        <f aca="false">C21*Annahmen!$B$10*(D21/100)</f>
        <v>5.17997345573004</v>
      </c>
      <c r="G21" s="7" t="n">
        <f aca="false">E21*Annahmen!$B$9</f>
        <v>54.7574198096892</v>
      </c>
      <c r="H21" s="7" t="n">
        <f aca="false">Annahmen!$B$18*Annahmen!$B$20*Annahmen!$B$19+Annahmen!$B$21+C21*Annahmen!$B$22</f>
        <v>88.8363770379676</v>
      </c>
      <c r="I21" s="7" t="n">
        <f aca="false">F21+G21-H21</f>
        <v>-28.8989837725484</v>
      </c>
      <c r="J21" s="7" t="n">
        <f aca="false">J20+I21</f>
        <v>-309.779229890897</v>
      </c>
      <c r="K21" s="7" t="n">
        <f aca="false">AVERAGE(B16:B20)</f>
        <v>1</v>
      </c>
      <c r="L21" s="7" t="n">
        <f aca="false">ABS(B21-K21)</f>
        <v>0</v>
      </c>
    </row>
    <row r="22" customFormat="false" ht="15" hidden="false" customHeight="false" outlineLevel="0" collapsed="false">
      <c r="A22" s="0" t="n">
        <v>21</v>
      </c>
      <c r="B22" s="6" t="n">
        <v>1</v>
      </c>
      <c r="C22" s="7" t="n">
        <f aca="false">C21*(1-Annahmen!$B$13)+Annahmen!$B$15*(1+(B22-3)/2*Annahmen!$B$16)*(1+Annahmen!$B$25*(L22-Annahmen!$B$26))</f>
        <v>186.62857268286</v>
      </c>
      <c r="D22" s="7" t="n">
        <f aca="false">MIN(100,MAX(0,D21-Annahmen!$B$17*(B22-3)-Annahmen!$B$14*(D21-50)+Annahmen!$B$27*(L22-Annahmen!$B$26)))</f>
        <v>56.5943837371189</v>
      </c>
      <c r="E22" s="7" t="n">
        <f aca="false">E21+Annahmen!$B$12*(C22*Annahmen!$B$11*(D22/100)-E21)</f>
        <v>28.024861495544</v>
      </c>
      <c r="F22" s="7" t="n">
        <f aca="false">C22*Annahmen!$B$10*(D22/100)</f>
        <v>5.28106452936228</v>
      </c>
      <c r="G22" s="7" t="n">
        <f aca="false">E22*Annahmen!$B$9</f>
        <v>56.0497229910879</v>
      </c>
      <c r="H22" s="7" t="n">
        <f aca="false">Annahmen!$B$18*Annahmen!$B$20*Annahmen!$B$19+Annahmen!$B$21+C22*Annahmen!$B$22</f>
        <v>88.8662857268286</v>
      </c>
      <c r="I22" s="7" t="n">
        <f aca="false">F22+G22-H22</f>
        <v>-27.5354982063784</v>
      </c>
      <c r="J22" s="7" t="n">
        <f aca="false">J21+I22</f>
        <v>-337.314728097275</v>
      </c>
      <c r="K22" s="7" t="n">
        <f aca="false">AVERAGE(B17:B21)</f>
        <v>1</v>
      </c>
      <c r="L22" s="7" t="n">
        <f aca="false">ABS(B22-K22)</f>
        <v>0</v>
      </c>
    </row>
    <row r="23" customFormat="false" ht="15" hidden="false" customHeight="false" outlineLevel="0" collapsed="false">
      <c r="A23" s="0" t="n">
        <v>22</v>
      </c>
      <c r="B23" s="6" t="n">
        <v>1</v>
      </c>
      <c r="C23" s="7" t="n">
        <f aca="false">C22*(1-Annahmen!$B$13)+Annahmen!$B$15*(1+(B23-3)/2*Annahmen!$B$16)*(1+Annahmen!$B$25*(L23-Annahmen!$B$26))</f>
        <v>189.529715502374</v>
      </c>
      <c r="D23" s="7" t="n">
        <f aca="false">MIN(100,MAX(0,D22-Annahmen!$B$17*(B23-3)-Annahmen!$B$14*(D22-50)+Annahmen!$B$27*(L23-Annahmen!$B$26)))</f>
        <v>56.7646645502629</v>
      </c>
      <c r="E23" s="7" t="n">
        <f aca="false">E22+Annahmen!$B$12*(C23*Annahmen!$B$11*(D23/100)-E22)</f>
        <v>28.6624980964719</v>
      </c>
      <c r="F23" s="7" t="n">
        <f aca="false">C23*Annahmen!$B$10*(D23/100)</f>
        <v>5.37929536139952</v>
      </c>
      <c r="G23" s="7" t="n">
        <f aca="false">E23*Annahmen!$B$9</f>
        <v>57.3249961929439</v>
      </c>
      <c r="H23" s="7" t="n">
        <f aca="false">Annahmen!$B$18*Annahmen!$B$20*Annahmen!$B$19+Annahmen!$B$21+C23*Annahmen!$B$22</f>
        <v>88.8952971550237</v>
      </c>
      <c r="I23" s="7" t="n">
        <f aca="false">F23+G23-H23</f>
        <v>-26.1910056006804</v>
      </c>
      <c r="J23" s="7" t="n">
        <f aca="false">J22+I23</f>
        <v>-363.505733697955</v>
      </c>
      <c r="K23" s="7" t="n">
        <f aca="false">AVERAGE(B18:B22)</f>
        <v>1</v>
      </c>
      <c r="L23" s="7" t="n">
        <f aca="false">ABS(B23-K23)</f>
        <v>0</v>
      </c>
    </row>
    <row r="24" customFormat="false" ht="15" hidden="false" customHeight="false" outlineLevel="0" collapsed="false">
      <c r="A24" s="0" t="n">
        <v>23</v>
      </c>
      <c r="B24" s="6" t="n">
        <v>1</v>
      </c>
      <c r="C24" s="7" t="n">
        <f aca="false">C23*(1-Annahmen!$B$13)+Annahmen!$B$15*(1+(B24-3)/2*Annahmen!$B$16)*(1+Annahmen!$B$25*(L24-Annahmen!$B$26))</f>
        <v>192.343824037303</v>
      </c>
      <c r="D24" s="7" t="n">
        <f aca="false">MIN(100,MAX(0,D23-Annahmen!$B$17*(B24-3)-Annahmen!$B$14*(D23-50)+Annahmen!$B$27*(L24-Annahmen!$B$26)))</f>
        <v>56.9264313227498</v>
      </c>
      <c r="E24" s="7" t="n">
        <f aca="false">E23+Annahmen!$B$12*(C24*Annahmen!$B$11*(D24/100)-E23)</f>
        <v>29.2903747522377</v>
      </c>
      <c r="F24" s="7" t="n">
        <f aca="false">C24*Annahmen!$B$10*(D24/100)</f>
        <v>5.4747237447073</v>
      </c>
      <c r="G24" s="7" t="n">
        <f aca="false">E24*Annahmen!$B$9</f>
        <v>58.5807495044754</v>
      </c>
      <c r="H24" s="7" t="n">
        <f aca="false">Annahmen!$B$18*Annahmen!$B$20*Annahmen!$B$19+Annahmen!$B$21+C24*Annahmen!$B$22</f>
        <v>88.923438240373</v>
      </c>
      <c r="I24" s="7" t="n">
        <f aca="false">F24+G24-H24</f>
        <v>-24.8679649911903</v>
      </c>
      <c r="J24" s="7" t="n">
        <f aca="false">J23+I24</f>
        <v>-388.373698689146</v>
      </c>
      <c r="K24" s="7" t="n">
        <f aca="false">AVERAGE(B19:B23)</f>
        <v>1</v>
      </c>
      <c r="L24" s="7" t="n">
        <f aca="false">ABS(B24-K24)</f>
        <v>0</v>
      </c>
    </row>
    <row r="25" customFormat="false" ht="15" hidden="false" customHeight="false" outlineLevel="0" collapsed="false">
      <c r="A25" s="0" t="n">
        <v>24</v>
      </c>
      <c r="B25" s="6" t="n">
        <v>1</v>
      </c>
      <c r="C25" s="7" t="n">
        <f aca="false">C24*(1-Annahmen!$B$13)+Annahmen!$B$15*(1+(B25-3)/2*Annahmen!$B$16)*(1+Annahmen!$B$25*(L25-Annahmen!$B$26))</f>
        <v>195.073509316184</v>
      </c>
      <c r="D25" s="7" t="n">
        <f aca="false">MIN(100,MAX(0,D24-Annahmen!$B$17*(B25-3)-Annahmen!$B$14*(D24-50)+Annahmen!$B$27*(L25-Annahmen!$B$26)))</f>
        <v>57.0801097566123</v>
      </c>
      <c r="E25" s="7" t="n">
        <f aca="false">E24+Annahmen!$B$12*(C25*Annahmen!$B$11*(D25/100)-E24)</f>
        <v>29.9074863344709</v>
      </c>
      <c r="F25" s="7" t="n">
        <f aca="false">C25*Annahmen!$B$10*(D25/100)</f>
        <v>5.56740866118766</v>
      </c>
      <c r="G25" s="7" t="n">
        <f aca="false">E25*Annahmen!$B$9</f>
        <v>59.8149726689419</v>
      </c>
      <c r="H25" s="7" t="n">
        <f aca="false">Annahmen!$B$18*Annahmen!$B$20*Annahmen!$B$19+Annahmen!$B$21+C25*Annahmen!$B$22</f>
        <v>88.9507350931618</v>
      </c>
      <c r="I25" s="7" t="n">
        <f aca="false">F25+G25-H25</f>
        <v>-23.5683537630323</v>
      </c>
      <c r="J25" s="7" t="n">
        <f aca="false">J24+I25</f>
        <v>-411.942052452178</v>
      </c>
      <c r="K25" s="7" t="n">
        <f aca="false">AVERAGE(B20:B24)</f>
        <v>1</v>
      </c>
      <c r="L25" s="7" t="n">
        <f aca="false">ABS(B25-K25)</f>
        <v>0</v>
      </c>
    </row>
    <row r="26" customFormat="false" ht="15" hidden="false" customHeight="false" outlineLevel="0" collapsed="false">
      <c r="A26" s="0" t="n">
        <v>25</v>
      </c>
      <c r="B26" s="6" t="n">
        <v>1</v>
      </c>
      <c r="C26" s="7" t="n">
        <f aca="false">C25*(1-Annahmen!$B$13)+Annahmen!$B$15*(1+(B26-3)/2*Annahmen!$B$16)*(1+Annahmen!$B$25*(L26-Annahmen!$B$26))</f>
        <v>197.721304036698</v>
      </c>
      <c r="D26" s="7" t="n">
        <f aca="false">MIN(100,MAX(0,D25-Annahmen!$B$17*(B26-3)-Annahmen!$B$14*(D25-50)+Annahmen!$B$27*(L26-Annahmen!$B$26)))</f>
        <v>57.2261042687817</v>
      </c>
      <c r="E26" s="7" t="n">
        <f aca="false">E25+Annahmen!$B$12*(C26*Annahmen!$B$11*(D26/100)-E25)</f>
        <v>30.5130323667339</v>
      </c>
      <c r="F26" s="7" t="n">
        <f aca="false">C26*Annahmen!$B$10*(D26/100)</f>
        <v>5.65740998048179</v>
      </c>
      <c r="G26" s="7" t="n">
        <f aca="false">E26*Annahmen!$B$9</f>
        <v>61.0260647334678</v>
      </c>
      <c r="H26" s="7" t="n">
        <f aca="false">Annahmen!$B$18*Annahmen!$B$20*Annahmen!$B$19+Annahmen!$B$21+C26*Annahmen!$B$22</f>
        <v>88.977213040367</v>
      </c>
      <c r="I26" s="7" t="n">
        <f aca="false">F26+G26-H26</f>
        <v>-22.2937383264174</v>
      </c>
      <c r="J26" s="7" t="n">
        <f aca="false">J25+I26</f>
        <v>-434.235790778595</v>
      </c>
      <c r="K26" s="7" t="n">
        <f aca="false">AVERAGE(B21:B25)</f>
        <v>1</v>
      </c>
      <c r="L26" s="7" t="n">
        <f aca="false">ABS(B26-K26)</f>
        <v>0</v>
      </c>
    </row>
    <row r="27" customFormat="false" ht="15" hidden="false" customHeight="false" outlineLevel="0" collapsed="false">
      <c r="A27" s="0" t="n">
        <v>26</v>
      </c>
      <c r="B27" s="6" t="n">
        <v>1</v>
      </c>
      <c r="C27" s="7" t="n">
        <f aca="false">C26*(1-Annahmen!$B$13)+Annahmen!$B$15*(1+(B27-3)/2*Annahmen!$B$16)*(1+Annahmen!$B$25*(L27-Annahmen!$B$26))</f>
        <v>200.289664915597</v>
      </c>
      <c r="D27" s="7" t="n">
        <f aca="false">MIN(100,MAX(0,D26-Annahmen!$B$17*(B27-3)-Annahmen!$B$14*(D26-50)+Annahmen!$B$27*(L27-Annahmen!$B$26)))</f>
        <v>57.3647990553426</v>
      </c>
      <c r="E27" s="7" t="n">
        <f aca="false">E26+Annahmen!$B$12*(C27*Annahmen!$B$11*(D27/100)-E26)</f>
        <v>31.1063868830591</v>
      </c>
      <c r="F27" s="7" t="n">
        <f aca="false">C27*Annahmen!$B$10*(D27/100)</f>
        <v>5.74478819037258</v>
      </c>
      <c r="G27" s="7" t="n">
        <f aca="false">E27*Annahmen!$B$9</f>
        <v>62.2127737661183</v>
      </c>
      <c r="H27" s="7" t="n">
        <f aca="false">Annahmen!$B$18*Annahmen!$B$20*Annahmen!$B$19+Annahmen!$B$21+C27*Annahmen!$B$22</f>
        <v>89.002896649156</v>
      </c>
      <c r="I27" s="7" t="n">
        <f aca="false">F27+G27-H27</f>
        <v>-21.0453346926651</v>
      </c>
      <c r="J27" s="7" t="n">
        <f aca="false">J26+I27</f>
        <v>-455.28112547126</v>
      </c>
      <c r="K27" s="7" t="n">
        <f aca="false">AVERAGE(B22:B26)</f>
        <v>1</v>
      </c>
      <c r="L27" s="7" t="n">
        <f aca="false">ABS(B27-K27)</f>
        <v>0</v>
      </c>
    </row>
    <row r="28" customFormat="false" ht="15" hidden="false" customHeight="false" outlineLevel="0" collapsed="false">
      <c r="A28" s="0" t="n">
        <v>27</v>
      </c>
      <c r="B28" s="6" t="n">
        <v>1</v>
      </c>
      <c r="C28" s="7" t="n">
        <f aca="false">C27*(1-Annahmen!$B$13)+Annahmen!$B$15*(1+(B28-3)/2*Annahmen!$B$16)*(1+Annahmen!$B$25*(L28-Annahmen!$B$26))</f>
        <v>202.78097496813</v>
      </c>
      <c r="D28" s="7" t="n">
        <f aca="false">MIN(100,MAX(0,D27-Annahmen!$B$17*(B28-3)-Annahmen!$B$14*(D27-50)+Annahmen!$B$27*(L28-Annahmen!$B$26)))</f>
        <v>57.4965591025755</v>
      </c>
      <c r="E28" s="7" t="n">
        <f aca="false">E27+Annahmen!$B$12*(C28*Annahmen!$B$11*(D28/100)-E27)</f>
        <v>31.6870725910601</v>
      </c>
      <c r="F28" s="7" t="n">
        <f aca="false">C28*Annahmen!$B$10*(D28/100)</f>
        <v>5.82960415606647</v>
      </c>
      <c r="G28" s="7" t="n">
        <f aca="false">E28*Annahmen!$B$9</f>
        <v>63.3741451821202</v>
      </c>
      <c r="H28" s="7" t="n">
        <f aca="false">Annahmen!$B$18*Annahmen!$B$20*Annahmen!$B$19+Annahmen!$B$21+C28*Annahmen!$B$22</f>
        <v>89.0278097496813</v>
      </c>
      <c r="I28" s="7" t="n">
        <f aca="false">F28+G28-H28</f>
        <v>-19.8240604114946</v>
      </c>
      <c r="J28" s="7" t="n">
        <f aca="false">J27+I28</f>
        <v>-475.105185882755</v>
      </c>
      <c r="K28" s="7" t="n">
        <f aca="false">AVERAGE(B23:B27)</f>
        <v>1</v>
      </c>
      <c r="L28" s="7" t="n">
        <f aca="false">ABS(B28-K28)</f>
        <v>0</v>
      </c>
    </row>
    <row r="29" customFormat="false" ht="15" hidden="false" customHeight="false" outlineLevel="0" collapsed="false">
      <c r="A29" s="0" t="n">
        <v>28</v>
      </c>
      <c r="B29" s="6" t="n">
        <v>1</v>
      </c>
      <c r="C29" s="7" t="n">
        <f aca="false">C28*(1-Annahmen!$B$13)+Annahmen!$B$15*(1+(B29-3)/2*Annahmen!$B$16)*(1+Annahmen!$B$25*(L29-Annahmen!$B$26))</f>
        <v>205.197545719086</v>
      </c>
      <c r="D29" s="7" t="n">
        <f aca="false">MIN(100,MAX(0,D28-Annahmen!$B$17*(B29-3)-Annahmen!$B$14*(D28-50)+Annahmen!$B$27*(L29-Annahmen!$B$26)))</f>
        <v>57.6217311474467</v>
      </c>
      <c r="E29" s="7" t="n">
        <f aca="false">E28+Annahmen!$B$12*(C29*Annahmen!$B$11*(D29/100)-E28)</f>
        <v>32.2547387175946</v>
      </c>
      <c r="F29" s="7" t="n">
        <f aca="false">C29*Annahmen!$B$10*(D29/100)</f>
        <v>5.91191890577053</v>
      </c>
      <c r="G29" s="7" t="n">
        <f aca="false">E29*Annahmen!$B$9</f>
        <v>64.5094774351891</v>
      </c>
      <c r="H29" s="7" t="n">
        <f aca="false">Annahmen!$B$18*Annahmen!$B$20*Annahmen!$B$19+Annahmen!$B$21+C29*Annahmen!$B$22</f>
        <v>89.0519754571909</v>
      </c>
      <c r="I29" s="7" t="n">
        <f aca="false">F29+G29-H29</f>
        <v>-18.6305791162312</v>
      </c>
      <c r="J29" s="7" t="n">
        <f aca="false">J28+I29</f>
        <v>-493.735764998986</v>
      </c>
      <c r="K29" s="7" t="n">
        <f aca="false">AVERAGE(B24:B28)</f>
        <v>1</v>
      </c>
      <c r="L29" s="7" t="n">
        <f aca="false">ABS(B29-K29)</f>
        <v>0</v>
      </c>
    </row>
    <row r="30" customFormat="false" ht="15" hidden="false" customHeight="false" outlineLevel="0" collapsed="false">
      <c r="A30" s="0" t="n">
        <v>29</v>
      </c>
      <c r="B30" s="6" t="n">
        <v>1</v>
      </c>
      <c r="C30" s="7" t="n">
        <f aca="false">C29*(1-Annahmen!$B$13)+Annahmen!$B$15*(1+(B30-3)/2*Annahmen!$B$16)*(1+Annahmen!$B$25*(L30-Annahmen!$B$26))</f>
        <v>207.541619347513</v>
      </c>
      <c r="D30" s="7" t="n">
        <f aca="false">MIN(100,MAX(0,D29-Annahmen!$B$17*(B30-3)-Annahmen!$B$14*(D29-50)+Annahmen!$B$27*(L30-Annahmen!$B$26)))</f>
        <v>57.7406445900744</v>
      </c>
      <c r="E30" s="7" t="n">
        <f aca="false">E29+Annahmen!$B$12*(C30*Annahmen!$B$11*(D30/100)-E29)</f>
        <v>32.8091420061323</v>
      </c>
      <c r="F30" s="7" t="n">
        <f aca="false">C30*Annahmen!$B$10*(D30/100)</f>
        <v>5.99179344019663</v>
      </c>
      <c r="G30" s="7" t="n">
        <f aca="false">E30*Annahmen!$B$9</f>
        <v>65.6182840122647</v>
      </c>
      <c r="H30" s="7" t="n">
        <f aca="false">Annahmen!$B$18*Annahmen!$B$20*Annahmen!$B$19+Annahmen!$B$21+C30*Annahmen!$B$22</f>
        <v>89.0754161934751</v>
      </c>
      <c r="I30" s="7" t="n">
        <f aca="false">F30+G30-H30</f>
        <v>-17.4653387410138</v>
      </c>
      <c r="J30" s="7" t="n">
        <f aca="false">J29+I30</f>
        <v>-511.20110374</v>
      </c>
      <c r="K30" s="7" t="n">
        <f aca="false">AVERAGE(B25:B29)</f>
        <v>1</v>
      </c>
      <c r="L30" s="7" t="n">
        <f aca="false">ABS(B30-K30)</f>
        <v>0</v>
      </c>
    </row>
    <row r="31" customFormat="false" ht="15" hidden="false" customHeight="false" outlineLevel="0" collapsed="false">
      <c r="A31" s="0" t="n">
        <v>30</v>
      </c>
      <c r="B31" s="6" t="n">
        <v>1</v>
      </c>
      <c r="C31" s="7" t="n">
        <f aca="false">C30*(1-Annahmen!$B$13)+Annahmen!$B$15*(1+(B31-3)/2*Annahmen!$B$16)*(1+Annahmen!$B$25*(L31-Annahmen!$B$26))</f>
        <v>209.815370767088</v>
      </c>
      <c r="D31" s="7" t="n">
        <f aca="false">MIN(100,MAX(0,D30-Annahmen!$B$17*(B31-3)-Annahmen!$B$14*(D30-50)+Annahmen!$B$27*(L31-Annahmen!$B$26)))</f>
        <v>57.8536123605706</v>
      </c>
      <c r="E31" s="7" t="n">
        <f aca="false">E30+Annahmen!$B$12*(C31*Annahmen!$B$11*(D31/100)-E30)</f>
        <v>33.3501304126543</v>
      </c>
      <c r="F31" s="7" t="n">
        <f aca="false">C31*Annahmen!$B$10*(D31/100)</f>
        <v>6.06928856382425</v>
      </c>
      <c r="G31" s="7" t="n">
        <f aca="false">E31*Annahmen!$B$9</f>
        <v>66.7002608253086</v>
      </c>
      <c r="H31" s="7" t="n">
        <f aca="false">Annahmen!$B$18*Annahmen!$B$20*Annahmen!$B$19+Annahmen!$B$21+C31*Annahmen!$B$22</f>
        <v>89.0981537076709</v>
      </c>
      <c r="I31" s="7" t="n">
        <f aca="false">F31+G31-H31</f>
        <v>-16.328604318538</v>
      </c>
      <c r="J31" s="7" t="n">
        <f aca="false">J30+I31</f>
        <v>-527.529708058538</v>
      </c>
      <c r="K31" s="7" t="n">
        <f aca="false">AVERAGE(B26:B30)</f>
        <v>1</v>
      </c>
      <c r="L31" s="7" t="n">
        <f aca="false">ABS(B31-K31)</f>
        <v>0</v>
      </c>
    </row>
    <row r="32" customFormat="false" ht="15" hidden="false" customHeight="false" outlineLevel="0" collapsed="false">
      <c r="A32" s="0" t="n">
        <v>31</v>
      </c>
      <c r="B32" s="6" t="n">
        <v>1</v>
      </c>
      <c r="C32" s="7" t="n">
        <f aca="false">C31*(1-Annahmen!$B$13)+Annahmen!$B$15*(1+(B32-3)/2*Annahmen!$B$16)*(1+Annahmen!$B$25*(L32-Annahmen!$B$26))</f>
        <v>212.020909644075</v>
      </c>
      <c r="D32" s="7" t="n">
        <f aca="false">MIN(100,MAX(0,D31-Annahmen!$B$17*(B32-3)-Annahmen!$B$14*(D31-50)+Annahmen!$B$27*(L32-Annahmen!$B$26)))</f>
        <v>57.9609317425421</v>
      </c>
      <c r="E32" s="7" t="n">
        <f aca="false">E31+Annahmen!$B$12*(C32*Annahmen!$B$11*(D32/100)-E31)</f>
        <v>33.8776291130985</v>
      </c>
      <c r="F32" s="7" t="n">
        <f aca="false">C32*Annahmen!$B$10*(D32/100)</f>
        <v>6.14446473593596</v>
      </c>
      <c r="G32" s="7" t="n">
        <f aca="false">E32*Annahmen!$B$9</f>
        <v>67.7552582261971</v>
      </c>
      <c r="H32" s="7" t="n">
        <f aca="false">Annahmen!$B$18*Annahmen!$B$20*Annahmen!$B$19+Annahmen!$B$21+C32*Annahmen!$B$22</f>
        <v>89.1202090964408</v>
      </c>
      <c r="I32" s="7" t="n">
        <f aca="false">F32+G32-H32</f>
        <v>-15.2204861343077</v>
      </c>
      <c r="J32" s="7" t="n">
        <f aca="false">J31+I32</f>
        <v>-542.750194192846</v>
      </c>
      <c r="K32" s="7" t="n">
        <f aca="false">AVERAGE(B27:B31)</f>
        <v>1</v>
      </c>
      <c r="L32" s="7" t="n">
        <f aca="false">ABS(B32-K32)</f>
        <v>0</v>
      </c>
    </row>
    <row r="33" customFormat="false" ht="15" hidden="false" customHeight="false" outlineLevel="0" collapsed="false">
      <c r="A33" s="0" t="n">
        <v>32</v>
      </c>
      <c r="B33" s="6" t="n">
        <v>1</v>
      </c>
      <c r="C33" s="7" t="n">
        <f aca="false">C32*(1-Annahmen!$B$13)+Annahmen!$B$15*(1+(B33-3)/2*Annahmen!$B$16)*(1+Annahmen!$B$25*(L33-Annahmen!$B$26))</f>
        <v>214.160282354753</v>
      </c>
      <c r="D33" s="7" t="n">
        <f aca="false">MIN(100,MAX(0,D32-Annahmen!$B$17*(B33-3)-Annahmen!$B$14*(D32-50)+Annahmen!$B$27*(L33-Annahmen!$B$26)))</f>
        <v>58.062885155415</v>
      </c>
      <c r="E33" s="7" t="n">
        <f aca="false">E32+Annahmen!$B$12*(C33*Annahmen!$B$11*(D33/100)-E32)</f>
        <v>34.3916284917806</v>
      </c>
      <c r="F33" s="7" t="n">
        <f aca="false">C33*Annahmen!$B$10*(D33/100)</f>
        <v>6.21738193960763</v>
      </c>
      <c r="G33" s="7" t="n">
        <f aca="false">E33*Annahmen!$B$9</f>
        <v>68.7832569835612</v>
      </c>
      <c r="H33" s="7" t="n">
        <f aca="false">Annahmen!$B$18*Annahmen!$B$20*Annahmen!$B$19+Annahmen!$B$21+C33*Annahmen!$B$22</f>
        <v>89.1416028235475</v>
      </c>
      <c r="I33" s="7" t="n">
        <f aca="false">F33+G33-H33</f>
        <v>-14.1409639003787</v>
      </c>
      <c r="J33" s="7" t="n">
        <f aca="false">J32+I33</f>
        <v>-556.891158093225</v>
      </c>
      <c r="K33" s="7" t="n">
        <f aca="false">AVERAGE(B28:B32)</f>
        <v>1</v>
      </c>
      <c r="L33" s="7" t="n">
        <f aca="false">ABS(B33-K33)</f>
        <v>0</v>
      </c>
    </row>
    <row r="34" customFormat="false" ht="15" hidden="false" customHeight="false" outlineLevel="0" collapsed="false">
      <c r="A34" s="0" t="n">
        <v>33</v>
      </c>
      <c r="B34" s="6" t="n">
        <v>1</v>
      </c>
      <c r="C34" s="7" t="n">
        <f aca="false">C33*(1-Annahmen!$B$13)+Annahmen!$B$15*(1+(B34-3)/2*Annahmen!$B$16)*(1+Annahmen!$B$25*(L34-Annahmen!$B$26))</f>
        <v>216.23547388411</v>
      </c>
      <c r="D34" s="7" t="n">
        <f aca="false">MIN(100,MAX(0,D33-Annahmen!$B$17*(B34-3)-Annahmen!$B$14*(D33-50)+Annahmen!$B$27*(L34-Annahmen!$B$26)))</f>
        <v>58.1597408976443</v>
      </c>
      <c r="E34" s="7" t="n">
        <f aca="false">E33+Annahmen!$B$12*(C34*Annahmen!$B$11*(D34/100)-E33)</f>
        <v>34.8921738283042</v>
      </c>
      <c r="F34" s="7" t="n">
        <f aca="false">C34*Annahmen!$B$10*(D34/100)</f>
        <v>6.28809956698959</v>
      </c>
      <c r="G34" s="7" t="n">
        <f aca="false">E34*Annahmen!$B$9</f>
        <v>69.7843476566083</v>
      </c>
      <c r="H34" s="7" t="n">
        <f aca="false">Annahmen!$B$18*Annahmen!$B$20*Annahmen!$B$19+Annahmen!$B$21+C34*Annahmen!$B$22</f>
        <v>89.1623547388411</v>
      </c>
      <c r="I34" s="7" t="n">
        <f aca="false">F34+G34-H34</f>
        <v>-13.0899075152432</v>
      </c>
      <c r="J34" s="7" t="n">
        <f aca="false">J33+I34</f>
        <v>-569.981065608468</v>
      </c>
      <c r="K34" s="7" t="n">
        <f aca="false">AVERAGE(B29:B33)</f>
        <v>1</v>
      </c>
      <c r="L34" s="7" t="n">
        <f aca="false">ABS(B34-K34)</f>
        <v>0</v>
      </c>
    </row>
    <row r="35" customFormat="false" ht="15" hidden="false" customHeight="false" outlineLevel="0" collapsed="false">
      <c r="A35" s="0" t="n">
        <v>34</v>
      </c>
      <c r="B35" s="6" t="n">
        <v>1</v>
      </c>
      <c r="C35" s="7" t="n">
        <f aca="false">C34*(1-Annahmen!$B$13)+Annahmen!$B$15*(1+(B35-3)/2*Annahmen!$B$16)*(1+Annahmen!$B$25*(L35-Annahmen!$B$26))</f>
        <v>218.248409667587</v>
      </c>
      <c r="D35" s="7" t="n">
        <f aca="false">MIN(100,MAX(0,D34-Annahmen!$B$17*(B35-3)-Annahmen!$B$14*(D34-50)+Annahmen!$B$27*(L35-Annahmen!$B$26)))</f>
        <v>58.251753852762</v>
      </c>
      <c r="E35" s="7" t="n">
        <f aca="false">E34+Annahmen!$B$12*(C35*Annahmen!$B$11*(D35/100)-E34)</f>
        <v>35.3793564414794</v>
      </c>
      <c r="F35" s="7" t="n">
        <f aca="false">C35*Annahmen!$B$10*(D35/100)</f>
        <v>6.35667631935652</v>
      </c>
      <c r="G35" s="7" t="n">
        <f aca="false">E35*Annahmen!$B$9</f>
        <v>70.7587128829588</v>
      </c>
      <c r="H35" s="7" t="n">
        <f aca="false">Annahmen!$B$18*Annahmen!$B$20*Annahmen!$B$19+Annahmen!$B$21+C35*Annahmen!$B$22</f>
        <v>89.1824840966759</v>
      </c>
      <c r="I35" s="7" t="n">
        <f aca="false">F35+G35-H35</f>
        <v>-12.0670948943605</v>
      </c>
      <c r="J35" s="7" t="n">
        <f aca="false">J34+I35</f>
        <v>-582.048160502828</v>
      </c>
      <c r="K35" s="7" t="n">
        <f aca="false">AVERAGE(B30:B34)</f>
        <v>1</v>
      </c>
      <c r="L35" s="7" t="n">
        <f aca="false">ABS(B35-K35)</f>
        <v>0</v>
      </c>
    </row>
    <row r="36" customFormat="false" ht="15" hidden="false" customHeight="false" outlineLevel="0" collapsed="false">
      <c r="A36" s="0" t="n">
        <v>35</v>
      </c>
      <c r="B36" s="6" t="n">
        <v>1</v>
      </c>
      <c r="C36" s="7" t="n">
        <f aca="false">C35*(1-Annahmen!$B$13)+Annahmen!$B$15*(1+(B36-3)/2*Annahmen!$B$16)*(1+Annahmen!$B$25*(L36-Annahmen!$B$26))</f>
        <v>220.200957377559</v>
      </c>
      <c r="D36" s="7" t="n">
        <f aca="false">MIN(100,MAX(0,D35-Annahmen!$B$17*(B36-3)-Annahmen!$B$14*(D35-50)+Annahmen!$B$27*(L36-Annahmen!$B$26)))</f>
        <v>58.3391661601239</v>
      </c>
      <c r="E36" s="7" t="n">
        <f aca="false">E35+Annahmen!$B$12*(C36*Annahmen!$B$11*(D36/100)-E35)</f>
        <v>35.853306083738</v>
      </c>
      <c r="F36" s="7" t="n">
        <f aca="false">C36*Annahmen!$B$10*(D36/100)</f>
        <v>6.4231701205339</v>
      </c>
      <c r="G36" s="7" t="n">
        <f aca="false">E36*Annahmen!$B$9</f>
        <v>71.706612167476</v>
      </c>
      <c r="H36" s="7" t="n">
        <f aca="false">Annahmen!$B$18*Annahmen!$B$20*Annahmen!$B$19+Annahmen!$B$21+C36*Annahmen!$B$22</f>
        <v>89.2020095737756</v>
      </c>
      <c r="I36" s="7" t="n">
        <f aca="false">F36+G36-H36</f>
        <v>-11.0722272857657</v>
      </c>
      <c r="J36" s="7" t="n">
        <f aca="false">J35+I36</f>
        <v>-593.120387788594</v>
      </c>
      <c r="K36" s="7" t="n">
        <f aca="false">AVERAGE(B31:B35)</f>
        <v>1</v>
      </c>
      <c r="L36" s="7" t="n">
        <f aca="false">ABS(B36-K36)</f>
        <v>0</v>
      </c>
    </row>
    <row r="37" customFormat="false" ht="15" hidden="false" customHeight="false" outlineLevel="0" collapsed="false">
      <c r="A37" s="0" t="n">
        <v>36</v>
      </c>
      <c r="B37" s="6" t="n">
        <v>1</v>
      </c>
      <c r="C37" s="7" t="n">
        <f aca="false">C36*(1-Annahmen!$B$13)+Annahmen!$B$15*(1+(B37-3)/2*Annahmen!$B$16)*(1+Annahmen!$B$25*(L37-Annahmen!$B$26))</f>
        <v>222.094928656232</v>
      </c>
      <c r="D37" s="7" t="n">
        <f aca="false">MIN(100,MAX(0,D36-Annahmen!$B$17*(B37-3)-Annahmen!$B$14*(D36-50)+Annahmen!$B$27*(L37-Annahmen!$B$26)))</f>
        <v>58.4222078521177</v>
      </c>
      <c r="E37" s="7" t="n">
        <f aca="false">E36+Annahmen!$B$12*(C37*Annahmen!$B$11*(D37/100)-E36)</f>
        <v>36.3141844093624</v>
      </c>
      <c r="F37" s="7" t="n">
        <f aca="false">C37*Annahmen!$B$10*(D37/100)</f>
        <v>6.48763804242784</v>
      </c>
      <c r="G37" s="7" t="n">
        <f aca="false">E37*Annahmen!$B$9</f>
        <v>72.6283688187247</v>
      </c>
      <c r="H37" s="7" t="n">
        <f aca="false">Annahmen!$B$18*Annahmen!$B$20*Annahmen!$B$19+Annahmen!$B$21+C37*Annahmen!$B$22</f>
        <v>89.2209492865623</v>
      </c>
      <c r="I37" s="7" t="n">
        <f aca="false">F37+G37-H37</f>
        <v>-10.1049424254098</v>
      </c>
      <c r="J37" s="7" t="n">
        <f aca="false">J36+I37</f>
        <v>-603.225330214004</v>
      </c>
      <c r="K37" s="7" t="n">
        <f aca="false">AVERAGE(B32:B36)</f>
        <v>1</v>
      </c>
      <c r="L37" s="7" t="n">
        <f aca="false">ABS(B37-K37)</f>
        <v>0</v>
      </c>
    </row>
    <row r="38" customFormat="false" ht="15" hidden="false" customHeight="false" outlineLevel="0" collapsed="false">
      <c r="A38" s="0" t="n">
        <v>37</v>
      </c>
      <c r="B38" s="6" t="n">
        <v>1</v>
      </c>
      <c r="C38" s="7" t="n">
        <f aca="false">C37*(1-Annahmen!$B$13)+Annahmen!$B$15*(1+(B38-3)/2*Annahmen!$B$16)*(1+Annahmen!$B$25*(L38-Annahmen!$B$26))</f>
        <v>223.932080796545</v>
      </c>
      <c r="D38" s="7" t="n">
        <f aca="false">MIN(100,MAX(0,D37-Annahmen!$B$17*(B38-3)-Annahmen!$B$14*(D37-50)+Annahmen!$B$27*(L38-Annahmen!$B$26)))</f>
        <v>58.5010974595119</v>
      </c>
      <c r="E38" s="7" t="n">
        <f aca="false">E37+Annahmen!$B$12*(C38*Annahmen!$B$11*(D38/100)-E37)</f>
        <v>36.7621793653035</v>
      </c>
      <c r="F38" s="7" t="n">
        <f aca="false">C38*Annahmen!$B$10*(D38/100)</f>
        <v>6.55013624149499</v>
      </c>
      <c r="G38" s="7" t="n">
        <f aca="false">E38*Annahmen!$B$9</f>
        <v>73.524358730607</v>
      </c>
      <c r="H38" s="7" t="n">
        <f aca="false">Annahmen!$B$18*Annahmen!$B$20*Annahmen!$B$19+Annahmen!$B$21+C38*Annahmen!$B$22</f>
        <v>89.2393208079655</v>
      </c>
      <c r="I38" s="7" t="n">
        <f aca="false">F38+G38-H38</f>
        <v>-9.16482583586348</v>
      </c>
      <c r="J38" s="7" t="n">
        <f aca="false">J37+I38</f>
        <v>-612.390156049867</v>
      </c>
      <c r="K38" s="7" t="n">
        <f aca="false">AVERAGE(B33:B37)</f>
        <v>1</v>
      </c>
      <c r="L38" s="7" t="n">
        <f aca="false">ABS(B38-K38)</f>
        <v>0</v>
      </c>
    </row>
    <row r="39" customFormat="false" ht="15" hidden="false" customHeight="false" outlineLevel="0" collapsed="false">
      <c r="A39" s="0" t="n">
        <v>38</v>
      </c>
      <c r="B39" s="6" t="n">
        <v>1</v>
      </c>
      <c r="C39" s="7" t="n">
        <f aca="false">C38*(1-Annahmen!$B$13)+Annahmen!$B$15*(1+(B39-3)/2*Annahmen!$B$16)*(1+Annahmen!$B$25*(L39-Annahmen!$B$26))</f>
        <v>225.714118372649</v>
      </c>
      <c r="D39" s="7" t="n">
        <f aca="false">MIN(100,MAX(0,D38-Annahmen!$B$17*(B39-3)-Annahmen!$B$14*(D38-50)+Annahmen!$B$27*(L39-Annahmen!$B$26)))</f>
        <v>58.5760425865363</v>
      </c>
      <c r="E39" s="7" t="n">
        <f aca="false">E38+Annahmen!$B$12*(C39*Annahmen!$B$11*(D39/100)-E38)</f>
        <v>37.1975003750884</v>
      </c>
      <c r="F39" s="7" t="n">
        <f aca="false">C39*Annahmen!$B$10*(D39/100)</f>
        <v>6.61071990508939</v>
      </c>
      <c r="G39" s="7" t="n">
        <f aca="false">E39*Annahmen!$B$9</f>
        <v>74.3950007501768</v>
      </c>
      <c r="H39" s="7" t="n">
        <f aca="false">Annahmen!$B$18*Annahmen!$B$20*Annahmen!$B$19+Annahmen!$B$21+C39*Annahmen!$B$22</f>
        <v>89.2571411837265</v>
      </c>
      <c r="I39" s="7" t="n">
        <f aca="false">F39+G39-H39</f>
        <v>-8.25142052846027</v>
      </c>
      <c r="J39" s="7" t="n">
        <f aca="false">J38+I39</f>
        <v>-620.641576578328</v>
      </c>
      <c r="K39" s="7" t="n">
        <f aca="false">AVERAGE(B34:B38)</f>
        <v>1</v>
      </c>
      <c r="L39" s="7" t="n">
        <f aca="false">ABS(B39-K39)</f>
        <v>0</v>
      </c>
    </row>
    <row r="40" customFormat="false" ht="15" hidden="false" customHeight="false" outlineLevel="0" collapsed="false">
      <c r="A40" s="0" t="n">
        <v>39</v>
      </c>
      <c r="B40" s="6" t="n">
        <v>1</v>
      </c>
      <c r="C40" s="7" t="n">
        <f aca="false">C39*(1-Annahmen!$B$13)+Annahmen!$B$15*(1+(B40-3)/2*Annahmen!$B$16)*(1+Annahmen!$B$25*(L40-Annahmen!$B$26))</f>
        <v>227.44269482147</v>
      </c>
      <c r="D40" s="7" t="n">
        <f aca="false">MIN(100,MAX(0,D39-Annahmen!$B$17*(B40-3)-Annahmen!$B$14*(D39-50)+Annahmen!$B$27*(L40-Annahmen!$B$26)))</f>
        <v>58.6472404572095</v>
      </c>
      <c r="E40" s="7" t="n">
        <f aca="false">E39+Annahmen!$B$12*(C40*Annahmen!$B$11*(D40/100)-E39)</f>
        <v>37.6203742048689</v>
      </c>
      <c r="F40" s="7" t="n">
        <f aca="false">C40*Annahmen!$B$10*(D40/100)</f>
        <v>6.66944320671522</v>
      </c>
      <c r="G40" s="7" t="n">
        <f aca="false">E40*Annahmen!$B$9</f>
        <v>75.2407484097377</v>
      </c>
      <c r="H40" s="7" t="n">
        <f aca="false">Annahmen!$B$18*Annahmen!$B$20*Annahmen!$B$19+Annahmen!$B$21+C40*Annahmen!$B$22</f>
        <v>89.2744269482147</v>
      </c>
      <c r="I40" s="7" t="n">
        <f aca="false">F40+G40-H40</f>
        <v>-7.36423533176178</v>
      </c>
      <c r="J40" s="7" t="n">
        <f aca="false">J39+I40</f>
        <v>-628.005811910089</v>
      </c>
      <c r="K40" s="7" t="n">
        <f aca="false">AVERAGE(B35:B39)</f>
        <v>1</v>
      </c>
      <c r="L40" s="7" t="n">
        <f aca="false">ABS(B40-K40)</f>
        <v>0</v>
      </c>
    </row>
    <row r="41" customFormat="false" ht="15" hidden="false" customHeight="false" outlineLevel="0" collapsed="false">
      <c r="A41" s="0" t="n">
        <v>40</v>
      </c>
      <c r="B41" s="6" t="n">
        <v>1</v>
      </c>
      <c r="C41" s="7" t="n">
        <f aca="false">C40*(1-Annahmen!$B$13)+Annahmen!$B$15*(1+(B41-3)/2*Annahmen!$B$16)*(1+Annahmen!$B$25*(L41-Annahmen!$B$26))</f>
        <v>229.119413976825</v>
      </c>
      <c r="D41" s="7" t="n">
        <f aca="false">MIN(100,MAX(0,D40-Annahmen!$B$17*(B41-3)-Annahmen!$B$14*(D40-50)+Annahmen!$B$27*(L41-Annahmen!$B$26)))</f>
        <v>58.714878434349</v>
      </c>
      <c r="E41" s="7" t="n">
        <f aca="false">E40+Annahmen!$B$12*(C41*Annahmen!$B$11*(D41/100)-E40)</f>
        <v>38.0310414165079</v>
      </c>
      <c r="F41" s="7" t="n">
        <f aca="false">C41*Annahmen!$B$10*(D41/100)</f>
        <v>6.72635926929929</v>
      </c>
      <c r="G41" s="7" t="n">
        <f aca="false">E41*Annahmen!$B$9</f>
        <v>76.0620828330158</v>
      </c>
      <c r="H41" s="7" t="n">
        <f aca="false">Annahmen!$B$18*Annahmen!$B$20*Annahmen!$B$19+Annahmen!$B$21+C41*Annahmen!$B$22</f>
        <v>89.2911941397683</v>
      </c>
      <c r="I41" s="7" t="n">
        <f aca="false">F41+G41-H41</f>
        <v>-6.50275203745318</v>
      </c>
      <c r="J41" s="7" t="n">
        <f aca="false">J40+I41</f>
        <v>-634.508563947543</v>
      </c>
      <c r="K41" s="7" t="n">
        <f aca="false">AVERAGE(B36:B40)</f>
        <v>1</v>
      </c>
      <c r="L41" s="7" t="n">
        <f aca="false">ABS(B41-K41)</f>
        <v>0</v>
      </c>
    </row>
    <row r="42" customFormat="false" ht="15" hidden="false" customHeight="false" outlineLevel="0" collapsed="false">
      <c r="A42" s="0" t="n">
        <v>41</v>
      </c>
      <c r="B42" s="6" t="n">
        <v>1</v>
      </c>
      <c r="C42" s="7" t="n">
        <f aca="false">C41*(1-Annahmen!$B$13)+Annahmen!$B$15*(1+(B42-3)/2*Annahmen!$B$16)*(1+Annahmen!$B$25*(L42-Annahmen!$B$26))</f>
        <v>230.745831557521</v>
      </c>
      <c r="D42" s="7" t="n">
        <f aca="false">MIN(100,MAX(0,D41-Annahmen!$B$17*(B42-3)-Annahmen!$B$14*(D41-50)+Annahmen!$B$27*(L42-Annahmen!$B$26)))</f>
        <v>58.7791345126315</v>
      </c>
      <c r="E42" s="7" t="n">
        <f aca="false">E41+Annahmen!$B$12*(C42*Annahmen!$B$11*(D42/100)-E41)</f>
        <v>38.4297533261385</v>
      </c>
      <c r="F42" s="7" t="n">
        <f aca="false">C42*Annahmen!$B$10*(D42/100)</f>
        <v>6.78152013567426</v>
      </c>
      <c r="G42" s="7" t="n">
        <f aca="false">E42*Annahmen!$B$9</f>
        <v>76.8595066522771</v>
      </c>
      <c r="H42" s="7" t="n">
        <f aca="false">Annahmen!$B$18*Annahmen!$B$20*Annahmen!$B$19+Annahmen!$B$21+C42*Annahmen!$B$22</f>
        <v>89.3074583155752</v>
      </c>
      <c r="I42" s="7" t="n">
        <f aca="false">F42+G42-H42</f>
        <v>-5.66643152762386</v>
      </c>
      <c r="J42" s="7" t="n">
        <f aca="false">J41+I42</f>
        <v>-640.174995475166</v>
      </c>
      <c r="K42" s="7" t="n">
        <f aca="false">AVERAGE(B37:B41)</f>
        <v>1</v>
      </c>
      <c r="L42" s="7" t="n">
        <f aca="false">ABS(B42-K42)</f>
        <v>0</v>
      </c>
    </row>
    <row r="43" customFormat="false" ht="15" hidden="false" customHeight="false" outlineLevel="0" collapsed="false">
      <c r="A43" s="0" t="n">
        <v>42</v>
      </c>
      <c r="B43" s="6" t="n">
        <v>1</v>
      </c>
      <c r="C43" s="7" t="n">
        <f aca="false">C42*(1-Annahmen!$B$13)+Annahmen!$B$15*(1+(B43-3)/2*Annahmen!$B$16)*(1+Annahmen!$B$25*(L43-Annahmen!$B$26))</f>
        <v>232.323456610795</v>
      </c>
      <c r="D43" s="7" t="n">
        <f aca="false">MIN(100,MAX(0,D42-Annahmen!$B$17*(B43-3)-Annahmen!$B$14*(D42-50)+Annahmen!$B$27*(L43-Annahmen!$B$26)))</f>
        <v>58.840177787</v>
      </c>
      <c r="E43" s="7" t="n">
        <f aca="false">E42+Annahmen!$B$12*(C43*Annahmen!$B$11*(D43/100)-E42)</f>
        <v>38.8167693981991</v>
      </c>
      <c r="F43" s="7" t="n">
        <f aca="false">C43*Annahmen!$B$10*(D43/100)</f>
        <v>6.83497674553478</v>
      </c>
      <c r="G43" s="7" t="n">
        <f aca="false">E43*Annahmen!$B$9</f>
        <v>77.6335387963981</v>
      </c>
      <c r="H43" s="7" t="n">
        <f aca="false">Annahmen!$B$18*Annahmen!$B$20*Annahmen!$B$19+Annahmen!$B$21+C43*Annahmen!$B$22</f>
        <v>89.323234566108</v>
      </c>
      <c r="I43" s="7" t="n">
        <f aca="false">F43+G43-H43</f>
        <v>-4.85471902417505</v>
      </c>
      <c r="J43" s="7" t="n">
        <f aca="false">J42+I43</f>
        <v>-645.029714499342</v>
      </c>
      <c r="K43" s="7" t="n">
        <f aca="false">AVERAGE(B38:B42)</f>
        <v>1</v>
      </c>
      <c r="L43" s="7" t="n">
        <f aca="false">ABS(B43-K43)</f>
        <v>0</v>
      </c>
    </row>
    <row r="44" customFormat="false" ht="15" hidden="false" customHeight="false" outlineLevel="0" collapsed="false">
      <c r="A44" s="0" t="n">
        <v>43</v>
      </c>
      <c r="B44" s="6" t="n">
        <v>1</v>
      </c>
      <c r="C44" s="7" t="n">
        <f aca="false">C43*(1-Annahmen!$B$13)+Annahmen!$B$15*(1+(B44-3)/2*Annahmen!$B$16)*(1+Annahmen!$B$25*(L44-Annahmen!$B$26))</f>
        <v>233.853752912471</v>
      </c>
      <c r="D44" s="7" t="n">
        <f aca="false">MIN(100,MAX(0,D43-Annahmen!$B$17*(B44-3)-Annahmen!$B$14*(D43-50)+Annahmen!$B$27*(L44-Annahmen!$B$26)))</f>
        <v>58.89816889765</v>
      </c>
      <c r="E44" s="7" t="n">
        <f aca="false">E43+Annahmen!$B$12*(C44*Annahmen!$B$11*(D44/100)-E43)</f>
        <v>39.1923550148438</v>
      </c>
      <c r="F44" s="7" t="n">
        <f aca="false">C44*Annahmen!$B$10*(D44/100)</f>
        <v>6.88677891819402</v>
      </c>
      <c r="G44" s="7" t="n">
        <f aca="false">E44*Annahmen!$B$9</f>
        <v>78.3847100296876</v>
      </c>
      <c r="H44" s="7" t="n">
        <f aca="false">Annahmen!$B$18*Annahmen!$B$20*Annahmen!$B$19+Annahmen!$B$21+C44*Annahmen!$B$22</f>
        <v>89.3385375291247</v>
      </c>
      <c r="I44" s="7" t="n">
        <f aca="false">F44+G44-H44</f>
        <v>-4.06704858124306</v>
      </c>
      <c r="J44" s="7" t="n">
        <f aca="false">J43+I44</f>
        <v>-649.096763080585</v>
      </c>
      <c r="K44" s="7" t="n">
        <f aca="false">AVERAGE(B39:B43)</f>
        <v>1</v>
      </c>
      <c r="L44" s="7" t="n">
        <f aca="false">ABS(B44-K44)</f>
        <v>0</v>
      </c>
    </row>
    <row r="45" customFormat="false" ht="15" hidden="false" customHeight="false" outlineLevel="0" collapsed="false">
      <c r="A45" s="0" t="n">
        <v>44</v>
      </c>
      <c r="B45" s="6" t="n">
        <v>1</v>
      </c>
      <c r="C45" s="7" t="n">
        <f aca="false">C44*(1-Annahmen!$B$13)+Annahmen!$B$15*(1+(B45-3)/2*Annahmen!$B$16)*(1+Annahmen!$B$25*(L45-Annahmen!$B$26))</f>
        <v>235.338140325097</v>
      </c>
      <c r="D45" s="7" t="n">
        <f aca="false">MIN(100,MAX(0,D44-Annahmen!$B$17*(B45-3)-Annahmen!$B$14*(D44-50)+Annahmen!$B$27*(L45-Annahmen!$B$26)))</f>
        <v>58.9532604527675</v>
      </c>
      <c r="E45" s="7" t="n">
        <f aca="false">E44+Annahmen!$B$12*(C45*Annahmen!$B$11*(D45/100)-E44)</f>
        <v>39.5567795690922</v>
      </c>
      <c r="F45" s="7" t="n">
        <f aca="false">C45*Annahmen!$B$10*(D45/100)</f>
        <v>6.93697534052769</v>
      </c>
      <c r="G45" s="7" t="n">
        <f aca="false">E45*Annahmen!$B$9</f>
        <v>79.1135591381843</v>
      </c>
      <c r="H45" s="7" t="n">
        <f aca="false">Annahmen!$B$18*Annahmen!$B$20*Annahmen!$B$19+Annahmen!$B$21+C45*Annahmen!$B$22</f>
        <v>89.353381403251</v>
      </c>
      <c r="I45" s="7" t="n">
        <f aca="false">F45+G45-H45</f>
        <v>-3.30284692453894</v>
      </c>
      <c r="J45" s="7" t="n">
        <f aca="false">J44+I45</f>
        <v>-652.399610005124</v>
      </c>
      <c r="K45" s="7" t="n">
        <f aca="false">AVERAGE(B40:B44)</f>
        <v>1</v>
      </c>
      <c r="L45" s="7" t="n">
        <f aca="false">ABS(B45-K45)</f>
        <v>0</v>
      </c>
    </row>
    <row r="46" customFormat="false" ht="15" hidden="false" customHeight="false" outlineLevel="0" collapsed="false">
      <c r="A46" s="0" t="n">
        <v>45</v>
      </c>
      <c r="B46" s="6" t="n">
        <v>1</v>
      </c>
      <c r="C46" s="7" t="n">
        <f aca="false">C45*(1-Annahmen!$B$13)+Annahmen!$B$15*(1+(B46-3)/2*Annahmen!$B$16)*(1+Annahmen!$B$25*(L46-Annahmen!$B$26))</f>
        <v>236.777996115344</v>
      </c>
      <c r="D46" s="7" t="n">
        <f aca="false">MIN(100,MAX(0,D45-Annahmen!$B$17*(B46-3)-Annahmen!$B$14*(D45-50)+Annahmen!$B$27*(L46-Annahmen!$B$26)))</f>
        <v>59.0055974301291</v>
      </c>
      <c r="E46" s="7" t="n">
        <f aca="false">E45+Annahmen!$B$12*(C46*Annahmen!$B$11*(D46/100)-E45)</f>
        <v>39.9103148373209</v>
      </c>
      <c r="F46" s="7" t="n">
        <f aca="false">C46*Annahmen!$B$10*(D46/100)</f>
        <v>6.98561355954733</v>
      </c>
      <c r="G46" s="7" t="n">
        <f aca="false">E46*Annahmen!$B$9</f>
        <v>79.8206296746419</v>
      </c>
      <c r="H46" s="7" t="n">
        <f aca="false">Annahmen!$B$18*Annahmen!$B$20*Annahmen!$B$19+Annahmen!$B$21+C46*Annahmen!$B$22</f>
        <v>89.3677799611535</v>
      </c>
      <c r="I46" s="7" t="n">
        <f aca="false">F46+G46-H46</f>
        <v>-2.56153672696422</v>
      </c>
      <c r="J46" s="7" t="n">
        <f aca="false">J45+I46</f>
        <v>-654.961146732088</v>
      </c>
      <c r="K46" s="7" t="n">
        <f aca="false">AVERAGE(B41:B45)</f>
        <v>1</v>
      </c>
      <c r="L46" s="7" t="n">
        <f aca="false">ABS(B46-K46)</f>
        <v>0</v>
      </c>
    </row>
    <row r="47" customFormat="false" ht="15" hidden="false" customHeight="false" outlineLevel="0" collapsed="false">
      <c r="A47" s="0" t="n">
        <v>46</v>
      </c>
      <c r="B47" s="6" t="n">
        <v>1</v>
      </c>
      <c r="C47" s="7" t="n">
        <f aca="false">C46*(1-Annahmen!$B$13)+Annahmen!$B$15*(1+(B47-3)/2*Annahmen!$B$16)*(1+Annahmen!$B$25*(L47-Annahmen!$B$26))</f>
        <v>238.174656231884</v>
      </c>
      <c r="D47" s="7" t="n">
        <f aca="false">MIN(100,MAX(0,D46-Annahmen!$B$17*(B47-3)-Annahmen!$B$14*(D46-50)+Annahmen!$B$27*(L47-Annahmen!$B$26)))</f>
        <v>59.0553175586226</v>
      </c>
      <c r="E47" s="7" t="n">
        <f aca="false">E46+Annahmen!$B$12*(C47*Annahmen!$B$11*(D47/100)-E46)</f>
        <v>40.2532335929082</v>
      </c>
      <c r="F47" s="7" t="n">
        <f aca="false">C47*Annahmen!$B$10*(D47/100)</f>
        <v>7.03273997909484</v>
      </c>
      <c r="G47" s="7" t="n">
        <f aca="false">E47*Annahmen!$B$9</f>
        <v>80.5064671858163</v>
      </c>
      <c r="H47" s="7" t="n">
        <f aca="false">Annahmen!$B$18*Annahmen!$B$20*Annahmen!$B$19+Annahmen!$B$21+C47*Annahmen!$B$22</f>
        <v>89.3817465623188</v>
      </c>
      <c r="I47" s="7" t="n">
        <f aca="false">F47+G47-H47</f>
        <v>-1.84253939740768</v>
      </c>
      <c r="J47" s="7" t="n">
        <f aca="false">J46+I47</f>
        <v>-656.803686129495</v>
      </c>
      <c r="K47" s="7" t="n">
        <f aca="false">AVERAGE(B42:B46)</f>
        <v>1</v>
      </c>
      <c r="L47" s="7" t="n">
        <f aca="false">ABS(B47-K47)</f>
        <v>0</v>
      </c>
    </row>
    <row r="48" customFormat="false" ht="15" hidden="false" customHeight="false" outlineLevel="0" collapsed="false">
      <c r="A48" s="0" t="n">
        <v>47</v>
      </c>
      <c r="B48" s="6" t="n">
        <v>1</v>
      </c>
      <c r="C48" s="7" t="n">
        <f aca="false">C47*(1-Annahmen!$B$13)+Annahmen!$B$15*(1+(B48-3)/2*Annahmen!$B$16)*(1+Annahmen!$B$25*(L48-Annahmen!$B$26))</f>
        <v>239.529416544927</v>
      </c>
      <c r="D48" s="7" t="n">
        <f aca="false">MIN(100,MAX(0,D47-Annahmen!$B$17*(B48-3)-Annahmen!$B$14*(D47-50)+Annahmen!$B$27*(L48-Annahmen!$B$26)))</f>
        <v>59.1025516806915</v>
      </c>
      <c r="E48" s="7" t="n">
        <f aca="false">E47+Annahmen!$B$12*(C48*Annahmen!$B$11*(D48/100)-E47)</f>
        <v>40.5858084281485</v>
      </c>
      <c r="F48" s="7" t="n">
        <f aca="false">C48*Annahmen!$B$10*(D48/100)</f>
        <v>7.07839986019622</v>
      </c>
      <c r="G48" s="7" t="n">
        <f aca="false">E48*Annahmen!$B$9</f>
        <v>81.1716168562971</v>
      </c>
      <c r="H48" s="7" t="n">
        <f aca="false">Annahmen!$B$18*Annahmen!$B$20*Annahmen!$B$19+Annahmen!$B$21+C48*Annahmen!$B$22</f>
        <v>89.3952941654493</v>
      </c>
      <c r="I48" s="7" t="n">
        <f aca="false">F48+G48-H48</f>
        <v>-1.14527744895597</v>
      </c>
      <c r="J48" s="7" t="n">
        <f aca="false">J47+I48</f>
        <v>-657.948963578451</v>
      </c>
      <c r="K48" s="7" t="n">
        <f aca="false">AVERAGE(B43:B47)</f>
        <v>1</v>
      </c>
      <c r="L48" s="7" t="n">
        <f aca="false">ABS(B48-K48)</f>
        <v>0</v>
      </c>
    </row>
    <row r="49" customFormat="false" ht="15" hidden="false" customHeight="false" outlineLevel="0" collapsed="false">
      <c r="A49" s="0" t="n">
        <v>48</v>
      </c>
      <c r="B49" s="6" t="n">
        <v>1</v>
      </c>
      <c r="C49" s="7" t="n">
        <f aca="false">C48*(1-Annahmen!$B$13)+Annahmen!$B$15*(1+(B49-3)/2*Annahmen!$B$16)*(1+Annahmen!$B$25*(L49-Annahmen!$B$26))</f>
        <v>240.84353404858</v>
      </c>
      <c r="D49" s="7" t="n">
        <f aca="false">MIN(100,MAX(0,D48-Annahmen!$B$17*(B49-3)-Annahmen!$B$14*(D48-50)+Annahmen!$B$27*(L49-Annahmen!$B$26)))</f>
        <v>59.1474240966569</v>
      </c>
      <c r="E49" s="7" t="n">
        <f aca="false">E48+Annahmen!$B$12*(C49*Annahmen!$B$11*(D49/100)-E48)</f>
        <v>40.9083107561153</v>
      </c>
      <c r="F49" s="7" t="n">
        <f aca="false">C49*Annahmen!$B$10*(D49/100)</f>
        <v>7.12263732465448</v>
      </c>
      <c r="G49" s="7" t="n">
        <f aca="false">E49*Annahmen!$B$9</f>
        <v>81.8166215122306</v>
      </c>
      <c r="H49" s="7" t="n">
        <f aca="false">Annahmen!$B$18*Annahmen!$B$20*Annahmen!$B$19+Annahmen!$B$21+C49*Annahmen!$B$22</f>
        <v>89.4084353404858</v>
      </c>
      <c r="I49" s="7" t="n">
        <f aca="false">F49+G49-H49</f>
        <v>-0.469176503600735</v>
      </c>
      <c r="J49" s="7" t="n">
        <f aca="false">J48+I49</f>
        <v>-658.418140082052</v>
      </c>
      <c r="K49" s="7" t="n">
        <f aca="false">AVERAGE(B44:B48)</f>
        <v>1</v>
      </c>
      <c r="L49" s="7" t="n">
        <f aca="false">ABS(B49-K49)</f>
        <v>0</v>
      </c>
    </row>
    <row r="50" customFormat="false" ht="15" hidden="false" customHeight="false" outlineLevel="0" collapsed="false">
      <c r="A50" s="0" t="n">
        <v>49</v>
      </c>
      <c r="B50" s="6" t="n">
        <v>1</v>
      </c>
      <c r="C50" s="7" t="n">
        <f aca="false">C49*(1-Annahmen!$B$13)+Annahmen!$B$15*(1+(B50-3)/2*Annahmen!$B$16)*(1+Annahmen!$B$25*(L50-Annahmen!$B$26))</f>
        <v>242.118228027122</v>
      </c>
      <c r="D50" s="7" t="n">
        <f aca="false">MIN(100,MAX(0,D49-Annahmen!$B$17*(B50-3)-Annahmen!$B$14*(D49-50)+Annahmen!$B$27*(L50-Annahmen!$B$26)))</f>
        <v>59.1900528918241</v>
      </c>
      <c r="E50" s="7" t="n">
        <f aca="false">E49+Annahmen!$B$12*(C50*Annahmen!$B$11*(D50/100)-E49)</f>
        <v>41.221009968048</v>
      </c>
      <c r="F50" s="7" t="n">
        <f aca="false">C50*Annahmen!$B$10*(D50/100)</f>
        <v>7.16549536150004</v>
      </c>
      <c r="G50" s="7" t="n">
        <f aca="false">E50*Annahmen!$B$9</f>
        <v>82.4420199360961</v>
      </c>
      <c r="H50" s="7" t="n">
        <f aca="false">Annahmen!$B$18*Annahmen!$B$20*Annahmen!$B$19+Annahmen!$B$21+C50*Annahmen!$B$22</f>
        <v>89.4211822802712</v>
      </c>
      <c r="I50" s="7" t="n">
        <f aca="false">F50+G50-H50</f>
        <v>0.186333017324884</v>
      </c>
      <c r="J50" s="7" t="n">
        <f aca="false">J49+I50</f>
        <v>-658.231807064727</v>
      </c>
      <c r="K50" s="7" t="n">
        <f aca="false">AVERAGE(B45:B49)</f>
        <v>1</v>
      </c>
      <c r="L50" s="7" t="n">
        <f aca="false">ABS(B50-K50)</f>
        <v>0</v>
      </c>
    </row>
    <row r="51" customFormat="false" ht="15" hidden="false" customHeight="false" outlineLevel="0" collapsed="false">
      <c r="A51" s="0" t="n">
        <v>50</v>
      </c>
      <c r="B51" s="6" t="n">
        <v>1</v>
      </c>
      <c r="C51" s="7" t="n">
        <f aca="false">C50*(1-Annahmen!$B$13)+Annahmen!$B$15*(1+(B51-3)/2*Annahmen!$B$16)*(1+Annahmen!$B$25*(L51-Annahmen!$B$26))</f>
        <v>243.354681186308</v>
      </c>
      <c r="D51" s="7" t="n">
        <f aca="false">MIN(100,MAX(0,D50-Annahmen!$B$17*(B51-3)-Annahmen!$B$14*(D50-50)+Annahmen!$B$27*(L51-Annahmen!$B$26)))</f>
        <v>59.2305502472329</v>
      </c>
      <c r="E51" s="7" t="n">
        <f aca="false">E50+Annahmen!$B$12*(C51*Annahmen!$B$11*(D51/100)-E50)</f>
        <v>41.5241727251981</v>
      </c>
      <c r="F51" s="7" t="n">
        <f aca="false">C51*Annahmen!$B$10*(D51/100)</f>
        <v>7.20701583595249</v>
      </c>
      <c r="G51" s="7" t="n">
        <f aca="false">E51*Annahmen!$B$9</f>
        <v>83.0483454503961</v>
      </c>
      <c r="H51" s="7" t="n">
        <f aca="false">Annahmen!$B$18*Annahmen!$B$20*Annahmen!$B$19+Annahmen!$B$21+C51*Annahmen!$B$22</f>
        <v>89.4335468118631</v>
      </c>
      <c r="I51" s="7" t="n">
        <f aca="false">F51+G51-H51</f>
        <v>0.821814474485549</v>
      </c>
      <c r="J51" s="7" t="n">
        <f aca="false">J50+I51</f>
        <v>-657.409992590242</v>
      </c>
      <c r="K51" s="7" t="n">
        <f aca="false">AVERAGE(B46:B50)</f>
        <v>1</v>
      </c>
      <c r="L51" s="7" t="n">
        <f aca="false">ABS(B51-K51)</f>
        <v>0</v>
      </c>
    </row>
    <row r="52" customFormat="false" ht="15" hidden="false" customHeight="false" outlineLevel="0" collapsed="false">
      <c r="A52" s="0" t="n">
        <v>51</v>
      </c>
      <c r="B52" s="6" t="n">
        <v>1</v>
      </c>
      <c r="C52" s="7" t="n">
        <f aca="false">C51*(1-Annahmen!$B$13)+Annahmen!$B$15*(1+(B52-3)/2*Annahmen!$B$16)*(1+Annahmen!$B$25*(L52-Annahmen!$B$26))</f>
        <v>244.554040750719</v>
      </c>
      <c r="D52" s="7" t="n">
        <f aca="false">MIN(100,MAX(0,D51-Annahmen!$B$17*(B52-3)-Annahmen!$B$14*(D51-50)+Annahmen!$B$27*(L52-Annahmen!$B$26)))</f>
        <v>59.2690227348712</v>
      </c>
      <c r="E52" s="7" t="n">
        <f aca="false">E51+Annahmen!$B$12*(C52*Annahmen!$B$11*(D52/100)-E51)</f>
        <v>41.8180623669399</v>
      </c>
      <c r="F52" s="7" t="n">
        <f aca="false">C52*Annahmen!$B$10*(D52/100)</f>
        <v>7.2472395005795</v>
      </c>
      <c r="G52" s="7" t="n">
        <f aca="false">E52*Annahmen!$B$9</f>
        <v>83.6361247338798</v>
      </c>
      <c r="H52" s="7" t="n">
        <f aca="false">Annahmen!$B$18*Annahmen!$B$20*Annahmen!$B$19+Annahmen!$B$21+C52*Annahmen!$B$22</f>
        <v>89.4455404075072</v>
      </c>
      <c r="I52" s="7" t="n">
        <f aca="false">F52+G52-H52</f>
        <v>1.43782382695213</v>
      </c>
      <c r="J52" s="7" t="n">
        <f aca="false">J51+I52</f>
        <v>-655.97216876329</v>
      </c>
      <c r="K52" s="7" t="n">
        <f aca="false">AVERAGE(B47:B51)</f>
        <v>1</v>
      </c>
      <c r="L52" s="7" t="n">
        <f aca="false">ABS(B52-K52)</f>
        <v>0</v>
      </c>
    </row>
    <row r="53" customFormat="false" ht="15" hidden="false" customHeight="false" outlineLevel="0" collapsed="false">
      <c r="A53" s="0" t="n">
        <v>52</v>
      </c>
      <c r="B53" s="6" t="n">
        <v>1</v>
      </c>
      <c r="C53" s="7" t="n">
        <f aca="false">C52*(1-Annahmen!$B$13)+Annahmen!$B$15*(1+(B53-3)/2*Annahmen!$B$16)*(1+Annahmen!$B$25*(L53-Annahmen!$B$26))</f>
        <v>245.717419528198</v>
      </c>
      <c r="D53" s="7" t="n">
        <f aca="false">MIN(100,MAX(0,D52-Annahmen!$B$17*(B53-3)-Annahmen!$B$14*(D52-50)+Annahmen!$B$27*(L53-Annahmen!$B$26)))</f>
        <v>59.3055715981277</v>
      </c>
      <c r="E53" s="7" t="n">
        <f aca="false">E52+Annahmen!$B$12*(C53*Annahmen!$B$11*(D53/100)-E52)</f>
        <v>42.1029384194304</v>
      </c>
      <c r="F53" s="7" t="n">
        <f aca="false">C53*Annahmen!$B$10*(D53/100)</f>
        <v>7.28620600836835</v>
      </c>
      <c r="G53" s="7" t="n">
        <f aca="false">E53*Annahmen!$B$9</f>
        <v>84.2058768388609</v>
      </c>
      <c r="H53" s="7" t="n">
        <f aca="false">Annahmen!$B$18*Annahmen!$B$20*Annahmen!$B$19+Annahmen!$B$21+C53*Annahmen!$B$22</f>
        <v>89.457174195282</v>
      </c>
      <c r="I53" s="7" t="n">
        <f aca="false">F53+G53-H53</f>
        <v>2.03490865194725</v>
      </c>
      <c r="J53" s="7" t="n">
        <f aca="false">J52+I53</f>
        <v>-653.937260111342</v>
      </c>
      <c r="K53" s="7" t="n">
        <f aca="false">AVERAGE(B48:B52)</f>
        <v>1</v>
      </c>
      <c r="L53" s="7" t="n">
        <f aca="false">ABS(B53-K53)</f>
        <v>0</v>
      </c>
    </row>
    <row r="54" customFormat="false" ht="15" hidden="false" customHeight="false" outlineLevel="0" collapsed="false">
      <c r="A54" s="0" t="n">
        <v>53</v>
      </c>
      <c r="B54" s="6" t="n">
        <v>1</v>
      </c>
      <c r="C54" s="7" t="n">
        <f aca="false">C53*(1-Annahmen!$B$13)+Annahmen!$B$15*(1+(B54-3)/2*Annahmen!$B$16)*(1+Annahmen!$B$25*(L54-Annahmen!$B$26))</f>
        <v>246.845896942352</v>
      </c>
      <c r="D54" s="7" t="n">
        <f aca="false">MIN(100,MAX(0,D53-Annahmen!$B$17*(B54-3)-Annahmen!$B$14*(D53-50)+Annahmen!$B$27*(L54-Annahmen!$B$26)))</f>
        <v>59.3402930182213</v>
      </c>
      <c r="E54" s="7" t="n">
        <f aca="false">E53+Annahmen!$B$12*(C54*Annahmen!$B$11*(D54/100)-E53)</f>
        <v>42.379056191223</v>
      </c>
      <c r="F54" s="7" t="n">
        <f aca="false">C54*Annahmen!$B$10*(D54/100)</f>
        <v>7.3239539274524</v>
      </c>
      <c r="G54" s="7" t="n">
        <f aca="false">E54*Annahmen!$B$9</f>
        <v>84.7581123824461</v>
      </c>
      <c r="H54" s="7" t="n">
        <f aca="false">Annahmen!$B$18*Annahmen!$B$20*Annahmen!$B$19+Annahmen!$B$21+C54*Annahmen!$B$22</f>
        <v>89.4684589694235</v>
      </c>
      <c r="I54" s="7" t="n">
        <f aca="false">F54+G54-H54</f>
        <v>2.61360734047496</v>
      </c>
      <c r="J54" s="7" t="n">
        <f aca="false">J53+I54</f>
        <v>-651.323652770867</v>
      </c>
      <c r="K54" s="7" t="n">
        <f aca="false">AVERAGE(B49:B53)</f>
        <v>1</v>
      </c>
      <c r="L54" s="7" t="n">
        <f aca="false">ABS(B54-K54)</f>
        <v>0</v>
      </c>
    </row>
    <row r="55" customFormat="false" ht="15" hidden="false" customHeight="false" outlineLevel="0" collapsed="false">
      <c r="A55" s="0" t="n">
        <v>54</v>
      </c>
      <c r="B55" s="6" t="n">
        <v>1</v>
      </c>
      <c r="C55" s="7" t="n">
        <f aca="false">C54*(1-Annahmen!$B$13)+Annahmen!$B$15*(1+(B55-3)/2*Annahmen!$B$16)*(1+Annahmen!$B$25*(L55-Annahmen!$B$26))</f>
        <v>247.940520034081</v>
      </c>
      <c r="D55" s="7" t="n">
        <f aca="false">MIN(100,MAX(0,D54-Annahmen!$B$17*(B55-3)-Annahmen!$B$14*(D54-50)+Annahmen!$B$27*(L55-Annahmen!$B$26)))</f>
        <v>59.3732783673102</v>
      </c>
      <c r="E55" s="7" t="n">
        <f aca="false">E54+Annahmen!$B$12*(C55*Annahmen!$B$11*(D55/100)-E54)</f>
        <v>42.6466664440732</v>
      </c>
      <c r="F55" s="7" t="n">
        <f aca="false">C55*Annahmen!$B$10*(D55/100)</f>
        <v>7.36052075725958</v>
      </c>
      <c r="G55" s="7" t="n">
        <f aca="false">E55*Annahmen!$B$9</f>
        <v>85.2933328881464</v>
      </c>
      <c r="H55" s="7" t="n">
        <f aca="false">Annahmen!$B$18*Annahmen!$B$20*Annahmen!$B$19+Annahmen!$B$21+C55*Annahmen!$B$22</f>
        <v>89.4794052003408</v>
      </c>
      <c r="I55" s="7" t="n">
        <f aca="false">F55+G55-H55</f>
        <v>3.17444844506517</v>
      </c>
      <c r="J55" s="7" t="n">
        <f aca="false">J54+I55</f>
        <v>-648.149204325802</v>
      </c>
      <c r="K55" s="7" t="n">
        <f aca="false">AVERAGE(B50:B54)</f>
        <v>1</v>
      </c>
      <c r="L55" s="7" t="n">
        <f aca="false">ABS(B55-K55)</f>
        <v>0</v>
      </c>
    </row>
    <row r="56" customFormat="false" ht="15" hidden="false" customHeight="false" outlineLevel="0" collapsed="false">
      <c r="A56" s="0" t="n">
        <v>55</v>
      </c>
      <c r="B56" s="6" t="n">
        <v>1</v>
      </c>
      <c r="C56" s="7" t="n">
        <f aca="false">C55*(1-Annahmen!$B$13)+Annahmen!$B$15*(1+(B56-3)/2*Annahmen!$B$16)*(1+Annahmen!$B$25*(L56-Annahmen!$B$26))</f>
        <v>249.002304433059</v>
      </c>
      <c r="D56" s="7" t="n">
        <f aca="false">MIN(100,MAX(0,D55-Annahmen!$B$17*(B56-3)-Annahmen!$B$14*(D55-50)+Annahmen!$B$27*(L56-Annahmen!$B$26)))</f>
        <v>59.4046144489447</v>
      </c>
      <c r="E56" s="7" t="n">
        <f aca="false">E55+Annahmen!$B$12*(C56*Annahmen!$B$11*(D56/100)-E55)</f>
        <v>42.9060151287473</v>
      </c>
      <c r="F56" s="7" t="n">
        <f aca="false">C56*Annahmen!$B$10*(D56/100)</f>
        <v>7.39594294587231</v>
      </c>
      <c r="G56" s="7" t="n">
        <f aca="false">E56*Annahmen!$B$9</f>
        <v>85.8120302574946</v>
      </c>
      <c r="H56" s="7" t="n">
        <f aca="false">Annahmen!$B$18*Annahmen!$B$20*Annahmen!$B$19+Annahmen!$B$21+C56*Annahmen!$B$22</f>
        <v>89.4900230443306</v>
      </c>
      <c r="I56" s="7" t="n">
        <f aca="false">F56+G56-H56</f>
        <v>3.71795015903631</v>
      </c>
      <c r="J56" s="7" t="n">
        <f aca="false">J55+I56</f>
        <v>-644.431254166766</v>
      </c>
      <c r="K56" s="7" t="n">
        <f aca="false">AVERAGE(B51:B55)</f>
        <v>1</v>
      </c>
      <c r="L56" s="7" t="n">
        <f aca="false">ABS(B56-K56)</f>
        <v>0</v>
      </c>
    </row>
    <row r="57" customFormat="false" ht="15" hidden="false" customHeight="false" outlineLevel="0" collapsed="false">
      <c r="A57" s="0" t="n">
        <v>56</v>
      </c>
      <c r="B57" s="6" t="n">
        <v>1</v>
      </c>
      <c r="C57" s="7" t="n">
        <f aca="false">C56*(1-Annahmen!$B$13)+Annahmen!$B$15*(1+(B57-3)/2*Annahmen!$B$16)*(1+Annahmen!$B$25*(L57-Annahmen!$B$26))</f>
        <v>250.032235300067</v>
      </c>
      <c r="D57" s="7" t="n">
        <f aca="false">MIN(100,MAX(0,D56-Annahmen!$B$17*(B57-3)-Annahmen!$B$14*(D56-50)+Annahmen!$B$27*(L57-Annahmen!$B$26)))</f>
        <v>59.4343837264975</v>
      </c>
      <c r="E57" s="7" t="n">
        <f aca="false">E56+Annahmen!$B$12*(C57*Annahmen!$B$11*(D57/100)-E56)</f>
        <v>43.1573431770033</v>
      </c>
      <c r="F57" s="7" t="n">
        <f aca="false">C57*Annahmen!$B$10*(D57/100)</f>
        <v>7.43025590840904</v>
      </c>
      <c r="G57" s="7" t="n">
        <f aca="false">E57*Annahmen!$B$9</f>
        <v>86.3146863540067</v>
      </c>
      <c r="H57" s="7" t="n">
        <f aca="false">Annahmen!$B$18*Annahmen!$B$20*Annahmen!$B$19+Annahmen!$B$21+C57*Annahmen!$B$22</f>
        <v>89.5003223530007</v>
      </c>
      <c r="I57" s="7" t="n">
        <f aca="false">F57+G57-H57</f>
        <v>4.24461990941504</v>
      </c>
      <c r="J57" s="7" t="n">
        <f aca="false">J56+I57</f>
        <v>-640.186634257351</v>
      </c>
      <c r="K57" s="7" t="n">
        <f aca="false">AVERAGE(B52:B56)</f>
        <v>1</v>
      </c>
      <c r="L57" s="7" t="n">
        <f aca="false">ABS(B57-K57)</f>
        <v>0</v>
      </c>
    </row>
    <row r="58" customFormat="false" ht="15" hidden="false" customHeight="false" outlineLevel="0" collapsed="false">
      <c r="A58" s="0" t="n">
        <v>57</v>
      </c>
      <c r="B58" s="6" t="n">
        <v>1</v>
      </c>
      <c r="C58" s="7" t="n">
        <f aca="false">C57*(1-Annahmen!$B$13)+Annahmen!$B$15*(1+(B58-3)/2*Annahmen!$B$16)*(1+Annahmen!$B$25*(L58-Annahmen!$B$26))</f>
        <v>251.031268241065</v>
      </c>
      <c r="D58" s="7" t="n">
        <f aca="false">MIN(100,MAX(0,D57-Annahmen!$B$17*(B58-3)-Annahmen!$B$14*(D57-50)+Annahmen!$B$27*(L58-Annahmen!$B$26)))</f>
        <v>59.4626645401726</v>
      </c>
      <c r="E58" s="7" t="n">
        <f aca="false">E57+Annahmen!$B$12*(C58*Annahmen!$B$11*(D58/100)-E57)</f>
        <v>43.4008863420835</v>
      </c>
      <c r="F58" s="7" t="n">
        <f aca="false">C58*Annahmen!$B$10*(D58/100)</f>
        <v>7.46349404625626</v>
      </c>
      <c r="G58" s="7" t="n">
        <f aca="false">E58*Annahmen!$B$9</f>
        <v>86.8017726841669</v>
      </c>
      <c r="H58" s="7" t="n">
        <f aca="false">Annahmen!$B$18*Annahmen!$B$20*Annahmen!$B$19+Annahmen!$B$21+C58*Annahmen!$B$22</f>
        <v>89.5103126824106</v>
      </c>
      <c r="I58" s="7" t="n">
        <f aca="false">F58+G58-H58</f>
        <v>4.75495404801255</v>
      </c>
      <c r="J58" s="7" t="n">
        <f aca="false">J57+I58</f>
        <v>-635.431680209338</v>
      </c>
      <c r="K58" s="7" t="n">
        <f aca="false">AVERAGE(B53:B57)</f>
        <v>1</v>
      </c>
      <c r="L58" s="7" t="n">
        <f aca="false">ABS(B58-K58)</f>
        <v>0</v>
      </c>
    </row>
    <row r="59" customFormat="false" ht="15" hidden="false" customHeight="false" outlineLevel="0" collapsed="false">
      <c r="A59" s="0" t="n">
        <v>58</v>
      </c>
      <c r="B59" s="6" t="n">
        <v>1</v>
      </c>
      <c r="C59" s="7" t="n">
        <f aca="false">C58*(1-Annahmen!$B$13)+Annahmen!$B$15*(1+(B59-3)/2*Annahmen!$B$16)*(1+Annahmen!$B$25*(L59-Annahmen!$B$26))</f>
        <v>252.000330193833</v>
      </c>
      <c r="D59" s="7" t="n">
        <f aca="false">MIN(100,MAX(0,D58-Annahmen!$B$17*(B59-3)-Annahmen!$B$14*(D58-50)+Annahmen!$B$27*(L59-Annahmen!$B$26)))</f>
        <v>59.489531313164</v>
      </c>
      <c r="E59" s="7" t="n">
        <f aca="false">E58+Annahmen!$B$12*(C59*Annahmen!$B$11*(D59/100)-E58)</f>
        <v>43.6368750810681</v>
      </c>
      <c r="F59" s="7" t="n">
        <f aca="false">C59*Annahmen!$B$10*(D59/100)</f>
        <v>7.49569076699684</v>
      </c>
      <c r="G59" s="7" t="n">
        <f aca="false">E59*Annahmen!$B$9</f>
        <v>87.2737501621362</v>
      </c>
      <c r="H59" s="7" t="n">
        <f aca="false">Annahmen!$B$18*Annahmen!$B$20*Annahmen!$B$19+Annahmen!$B$21+C59*Annahmen!$B$22</f>
        <v>89.5200033019383</v>
      </c>
      <c r="I59" s="7" t="n">
        <f aca="false">F59+G59-H59</f>
        <v>5.24943762719472</v>
      </c>
      <c r="J59" s="7" t="n">
        <f aca="false">J58+I59</f>
        <v>-630.182242582143</v>
      </c>
      <c r="K59" s="7" t="n">
        <f aca="false">AVERAGE(B54:B58)</f>
        <v>1</v>
      </c>
      <c r="L59" s="7" t="n">
        <f aca="false">ABS(B59-K59)</f>
        <v>0</v>
      </c>
    </row>
    <row r="60" customFormat="false" ht="15" hidden="false" customHeight="false" outlineLevel="0" collapsed="false">
      <c r="A60" s="0" t="n">
        <v>59</v>
      </c>
      <c r="B60" s="6" t="n">
        <v>1</v>
      </c>
      <c r="C60" s="7" t="n">
        <f aca="false">C59*(1-Annahmen!$B$13)+Annahmen!$B$15*(1+(B60-3)/2*Annahmen!$B$16)*(1+Annahmen!$B$25*(L60-Annahmen!$B$26))</f>
        <v>252.940320288018</v>
      </c>
      <c r="D60" s="7" t="n">
        <f aca="false">MIN(100,MAX(0,D59-Annahmen!$B$17*(B60-3)-Annahmen!$B$14*(D59-50)+Annahmen!$B$27*(L60-Annahmen!$B$26)))</f>
        <v>59.5150547475058</v>
      </c>
      <c r="E60" s="7" t="n">
        <f aca="false">E59+Annahmen!$B$12*(C60*Annahmen!$B$11*(D60/100)-E59)</f>
        <v>43.8655344733148</v>
      </c>
      <c r="F60" s="7" t="n">
        <f aca="false">C60*Annahmen!$B$10*(D60/100)</f>
        <v>7.52687850489652</v>
      </c>
      <c r="G60" s="7" t="n">
        <f aca="false">E60*Annahmen!$B$9</f>
        <v>87.7310689466295</v>
      </c>
      <c r="H60" s="7" t="n">
        <f aca="false">Annahmen!$B$18*Annahmen!$B$20*Annahmen!$B$19+Annahmen!$B$21+C60*Annahmen!$B$22</f>
        <v>89.5294032028802</v>
      </c>
      <c r="I60" s="7" t="n">
        <f aca="false">F60+G60-H60</f>
        <v>5.72854424864585</v>
      </c>
      <c r="J60" s="7" t="n">
        <f aca="false">J59+I60</f>
        <v>-624.453698333498</v>
      </c>
      <c r="K60" s="7" t="n">
        <f aca="false">AVERAGE(B55:B59)</f>
        <v>1</v>
      </c>
      <c r="L60" s="7" t="n">
        <f aca="false">ABS(B60-K60)</f>
        <v>0</v>
      </c>
    </row>
    <row r="61" customFormat="false" ht="15" hidden="false" customHeight="false" outlineLevel="0" collapsed="false">
      <c r="A61" s="0" t="n">
        <v>60</v>
      </c>
      <c r="B61" s="6" t="n">
        <v>1</v>
      </c>
      <c r="C61" s="7" t="n">
        <f aca="false">C60*(1-Annahmen!$B$13)+Annahmen!$B$15*(1+(B61-3)/2*Annahmen!$B$16)*(1+Annahmen!$B$25*(L61-Annahmen!$B$26))</f>
        <v>253.852110679377</v>
      </c>
      <c r="D61" s="7" t="n">
        <f aca="false">MIN(100,MAX(0,D60-Annahmen!$B$17*(B61-3)-Annahmen!$B$14*(D60-50)+Annahmen!$B$27*(L61-Annahmen!$B$26)))</f>
        <v>59.5393020101305</v>
      </c>
      <c r="E61" s="7" t="n">
        <f aca="false">E60+Annahmen!$B$12*(C61*Annahmen!$B$11*(D61/100)-E60)</f>
        <v>44.0870841699594</v>
      </c>
      <c r="F61" s="7" t="n">
        <f aca="false">C61*Annahmen!$B$10*(D61/100)</f>
        <v>7.55708874182426</v>
      </c>
      <c r="G61" s="7" t="n">
        <f aca="false">E61*Annahmen!$B$9</f>
        <v>88.1741683399188</v>
      </c>
      <c r="H61" s="7" t="n">
        <f aca="false">Annahmen!$B$18*Annahmen!$B$20*Annahmen!$B$19+Annahmen!$B$21+C61*Annahmen!$B$22</f>
        <v>89.5385211067938</v>
      </c>
      <c r="I61" s="7" t="n">
        <f aca="false">F61+G61-H61</f>
        <v>6.19273597494923</v>
      </c>
      <c r="J61" s="7" t="n">
        <f aca="false">J60+I61</f>
        <v>-618.260962358549</v>
      </c>
      <c r="K61" s="7" t="n">
        <f aca="false">AVERAGE(B56:B60)</f>
        <v>1</v>
      </c>
      <c r="L61" s="7" t="n">
        <f aca="false">ABS(B61-K61)</f>
        <v>0</v>
      </c>
    </row>
    <row r="62" customFormat="false" ht="15" hidden="false" customHeight="false" outlineLevel="0" collapsed="false">
      <c r="A62" s="0" t="n">
        <v>61</v>
      </c>
      <c r="B62" s="6" t="n">
        <v>1</v>
      </c>
      <c r="C62" s="7" t="n">
        <f aca="false">C61*(1-Annahmen!$B$13)+Annahmen!$B$15*(1+(B62-3)/2*Annahmen!$B$16)*(1+Annahmen!$B$25*(L62-Annahmen!$B$26))</f>
        <v>254.736547358996</v>
      </c>
      <c r="D62" s="7" t="n">
        <f aca="false">MIN(100,MAX(0,D61-Annahmen!$B$17*(B62-3)-Annahmen!$B$14*(D61-50)+Annahmen!$B$27*(L62-Annahmen!$B$26)))</f>
        <v>59.562336909624</v>
      </c>
      <c r="E62" s="7" t="n">
        <f aca="false">E61+Annahmen!$B$12*(C62*Annahmen!$B$11*(D62/100)-E61)</f>
        <v>44.3017383701114</v>
      </c>
      <c r="F62" s="7" t="n">
        <f aca="false">C62*Annahmen!$B$10*(D62/100)</f>
        <v>7.58635202849545</v>
      </c>
      <c r="G62" s="7" t="n">
        <f aca="false">E62*Annahmen!$B$9</f>
        <v>88.6034767402228</v>
      </c>
      <c r="H62" s="7" t="n">
        <f aca="false">Annahmen!$B$18*Annahmen!$B$20*Annahmen!$B$19+Annahmen!$B$21+C62*Annahmen!$B$22</f>
        <v>89.54736547359</v>
      </c>
      <c r="I62" s="7" t="n">
        <f aca="false">F62+G62-H62</f>
        <v>6.64246329512824</v>
      </c>
      <c r="J62" s="7" t="n">
        <f aca="false">J61+I62</f>
        <v>-611.61849906342</v>
      </c>
      <c r="K62" s="7" t="n">
        <f aca="false">AVERAGE(B57:B61)</f>
        <v>1</v>
      </c>
      <c r="L62" s="7" t="n">
        <f aca="false">ABS(B62-K62)</f>
        <v>0</v>
      </c>
    </row>
    <row r="63" customFormat="false" ht="15" hidden="false" customHeight="false" outlineLevel="0" collapsed="false">
      <c r="A63" s="0" t="n">
        <v>62</v>
      </c>
      <c r="B63" s="6" t="n">
        <v>1</v>
      </c>
      <c r="C63" s="7" t="n">
        <f aca="false">C62*(1-Annahmen!$B$13)+Annahmen!$B$15*(1+(B63-3)/2*Annahmen!$B$16)*(1+Annahmen!$B$25*(L63-Annahmen!$B$26))</f>
        <v>255.594450938226</v>
      </c>
      <c r="D63" s="7" t="n">
        <f aca="false">MIN(100,MAX(0,D62-Annahmen!$B$17*(B63-3)-Annahmen!$B$14*(D62-50)+Annahmen!$B$27*(L63-Annahmen!$B$26)))</f>
        <v>59.5842200641428</v>
      </c>
      <c r="E63" s="7" t="n">
        <f aca="false">E62+Annahmen!$B$12*(C63*Annahmen!$B$11*(D63/100)-E62)</f>
        <v>44.5097058199393</v>
      </c>
      <c r="F63" s="7" t="n">
        <f aca="false">C63*Annahmen!$B$10*(D63/100)</f>
        <v>7.61469800593851</v>
      </c>
      <c r="G63" s="7" t="n">
        <f aca="false">E63*Annahmen!$B$9</f>
        <v>89.0194116398786</v>
      </c>
      <c r="H63" s="7" t="n">
        <f aca="false">Annahmen!$B$18*Annahmen!$B$20*Annahmen!$B$19+Annahmen!$B$21+C63*Annahmen!$B$22</f>
        <v>89.5559445093823</v>
      </c>
      <c r="I63" s="7" t="n">
        <f aca="false">F63+G63-H63</f>
        <v>7.07816513643489</v>
      </c>
      <c r="J63" s="7" t="n">
        <f aca="false">J62+I63</f>
        <v>-604.540333926985</v>
      </c>
      <c r="K63" s="7" t="n">
        <f aca="false">AVERAGE(B58:B62)</f>
        <v>1</v>
      </c>
      <c r="L63" s="7" t="n">
        <f aca="false">ABS(B63-K63)</f>
        <v>0</v>
      </c>
    </row>
    <row r="64" customFormat="false" ht="15" hidden="false" customHeight="false" outlineLevel="0" collapsed="false">
      <c r="A64" s="0" t="n">
        <v>63</v>
      </c>
      <c r="B64" s="6" t="n">
        <v>1</v>
      </c>
      <c r="C64" s="7" t="n">
        <f aca="false">C63*(1-Annahmen!$B$13)+Annahmen!$B$15*(1+(B64-3)/2*Annahmen!$B$16)*(1+Annahmen!$B$25*(L64-Annahmen!$B$26))</f>
        <v>256.426617410079</v>
      </c>
      <c r="D64" s="7" t="n">
        <f aca="false">MIN(100,MAX(0,D63-Annahmen!$B$17*(B64-3)-Annahmen!$B$14*(D63-50)+Annahmen!$B$27*(L64-Annahmen!$B$26)))</f>
        <v>59.6050090609356</v>
      </c>
      <c r="E64" s="7" t="n">
        <f aca="false">E63+Annahmen!$B$12*(C64*Annahmen!$B$11*(D64/100)-E63)</f>
        <v>44.7111898313352</v>
      </c>
      <c r="F64" s="7" t="n">
        <f aca="false">C64*Annahmen!$B$10*(D64/100)</f>
        <v>7.64215542709643</v>
      </c>
      <c r="G64" s="7" t="n">
        <f aca="false">E64*Annahmen!$B$9</f>
        <v>89.4223796626704</v>
      </c>
      <c r="H64" s="7" t="n">
        <f aca="false">Annahmen!$B$18*Annahmen!$B$20*Annahmen!$B$19+Annahmen!$B$21+C64*Annahmen!$B$22</f>
        <v>89.5642661741008</v>
      </c>
      <c r="I64" s="7" t="n">
        <f aca="false">F64+G64-H64</f>
        <v>7.50026891566604</v>
      </c>
      <c r="J64" s="7" t="n">
        <f aca="false">J63+I64</f>
        <v>-597.040065011319</v>
      </c>
      <c r="K64" s="7" t="n">
        <f aca="false">AVERAGE(B59:B63)</f>
        <v>1</v>
      </c>
      <c r="L64" s="7" t="n">
        <f aca="false">ABS(B64-K64)</f>
        <v>0</v>
      </c>
    </row>
    <row r="65" customFormat="false" ht="15" hidden="false" customHeight="false" outlineLevel="0" collapsed="false">
      <c r="A65" s="0" t="n">
        <v>64</v>
      </c>
      <c r="B65" s="6" t="n">
        <v>1</v>
      </c>
      <c r="C65" s="7" t="n">
        <f aca="false">C64*(1-Annahmen!$B$13)+Annahmen!$B$15*(1+(B65-3)/2*Annahmen!$B$16)*(1+Annahmen!$B$25*(L65-Annahmen!$B$26))</f>
        <v>257.233818887777</v>
      </c>
      <c r="D65" s="7" t="n">
        <f aca="false">MIN(100,MAX(0,D64-Annahmen!$B$17*(B65-3)-Annahmen!$B$14*(D64-50)+Annahmen!$B$27*(L65-Annahmen!$B$26)))</f>
        <v>59.6247586078888</v>
      </c>
      <c r="E65" s="7" t="n">
        <f aca="false">E64+Annahmen!$B$12*(C65*Annahmen!$B$11*(D65/100)-E64)</f>
        <v>44.906388317271</v>
      </c>
      <c r="F65" s="7" t="n">
        <f aca="false">C65*Annahmen!$B$10*(D65/100)</f>
        <v>7.66875217848455</v>
      </c>
      <c r="G65" s="7" t="n">
        <f aca="false">E65*Annahmen!$B$9</f>
        <v>89.812776634542</v>
      </c>
      <c r="H65" s="7" t="n">
        <f aca="false">Annahmen!$B$18*Annahmen!$B$20*Annahmen!$B$19+Annahmen!$B$21+C65*Annahmen!$B$22</f>
        <v>89.5723381888778</v>
      </c>
      <c r="I65" s="7" t="n">
        <f aca="false">F65+G65-H65</f>
        <v>7.90919062414882</v>
      </c>
      <c r="J65" s="7" t="n">
        <f aca="false">J64+I65</f>
        <v>-589.130874387171</v>
      </c>
      <c r="K65" s="7" t="n">
        <f aca="false">AVERAGE(B60:B64)</f>
        <v>1</v>
      </c>
      <c r="L65" s="7" t="n">
        <f aca="false">ABS(B65-K65)</f>
        <v>0</v>
      </c>
    </row>
    <row r="66" customFormat="false" ht="15" hidden="false" customHeight="false" outlineLevel="0" collapsed="false">
      <c r="A66" s="0" t="n">
        <v>65</v>
      </c>
      <c r="B66" s="6" t="n">
        <v>1</v>
      </c>
      <c r="C66" s="7" t="n">
        <f aca="false">C65*(1-Annahmen!$B$13)+Annahmen!$B$15*(1+(B66-3)/2*Annahmen!$B$16)*(1+Annahmen!$B$25*(L66-Annahmen!$B$26))</f>
        <v>258.016804321144</v>
      </c>
      <c r="D66" s="7" t="n">
        <f aca="false">MIN(100,MAX(0,D65-Annahmen!$B$17*(B66-3)-Annahmen!$B$14*(D65-50)+Annahmen!$B$27*(L66-Annahmen!$B$26)))</f>
        <v>59.6435206774944</v>
      </c>
      <c r="E66" s="7" t="n">
        <f aca="false">E65+Annahmen!$B$12*(C66*Annahmen!$B$11*(D66/100)-E65)</f>
        <v>45.0954938413315</v>
      </c>
      <c r="F66" s="7" t="n">
        <f aca="false">C66*Annahmen!$B$10*(D66/100)</f>
        <v>7.69451530183458</v>
      </c>
      <c r="G66" s="7" t="n">
        <f aca="false">E66*Annahmen!$B$9</f>
        <v>90.190987682663</v>
      </c>
      <c r="H66" s="7" t="n">
        <f aca="false">Annahmen!$B$18*Annahmen!$B$20*Annahmen!$B$19+Annahmen!$B$21+C66*Annahmen!$B$22</f>
        <v>89.5801680432114</v>
      </c>
      <c r="I66" s="7" t="n">
        <f aca="false">F66+G66-H66</f>
        <v>8.30533494128611</v>
      </c>
      <c r="J66" s="7" t="n">
        <f aca="false">J65+I66</f>
        <v>-580.825539445884</v>
      </c>
      <c r="K66" s="7" t="n">
        <f aca="false">AVERAGE(B61:B65)</f>
        <v>1</v>
      </c>
      <c r="L66" s="7" t="n">
        <f aca="false">ABS(B66-K66)</f>
        <v>0</v>
      </c>
    </row>
    <row r="67" customFormat="false" ht="15" hidden="false" customHeight="false" outlineLevel="0" collapsed="false">
      <c r="A67" s="0" t="n">
        <v>66</v>
      </c>
      <c r="B67" s="6" t="n">
        <v>1</v>
      </c>
      <c r="C67" s="7" t="n">
        <f aca="false">C66*(1-Annahmen!$B$13)+Annahmen!$B$15*(1+(B67-3)/2*Annahmen!$B$16)*(1+Annahmen!$B$25*(L67-Annahmen!$B$26))</f>
        <v>258.776300191509</v>
      </c>
      <c r="D67" s="7" t="n">
        <f aca="false">MIN(100,MAX(0,D66-Annahmen!$B$17*(B67-3)-Annahmen!$B$14*(D66-50)+Annahmen!$B$27*(L67-Annahmen!$B$26)))</f>
        <v>59.6613446436197</v>
      </c>
      <c r="E67" s="7" t="n">
        <f aca="false">E66+Annahmen!$B$12*(C67*Annahmen!$B$11*(D67/100)-E66)</f>
        <v>45.2786936792287</v>
      </c>
      <c r="F67" s="7" t="n">
        <f aca="false">C67*Annahmen!$B$10*(D67/100)</f>
        <v>7.71947101566321</v>
      </c>
      <c r="G67" s="7" t="n">
        <f aca="false">E67*Annahmen!$B$9</f>
        <v>90.5573873584573</v>
      </c>
      <c r="H67" s="7" t="n">
        <f aca="false">Annahmen!$B$18*Annahmen!$B$20*Annahmen!$B$19+Annahmen!$B$21+C67*Annahmen!$B$22</f>
        <v>89.5877630019151</v>
      </c>
      <c r="I67" s="7" t="n">
        <f aca="false">F67+G67-H67</f>
        <v>8.68909537220543</v>
      </c>
      <c r="J67" s="7" t="n">
        <f aca="false">J66+I67</f>
        <v>-572.136444073679</v>
      </c>
      <c r="K67" s="7" t="n">
        <f aca="false">AVERAGE(B62:B66)</f>
        <v>1</v>
      </c>
      <c r="L67" s="7" t="n">
        <f aca="false">ABS(B67-K67)</f>
        <v>0</v>
      </c>
    </row>
    <row r="68" customFormat="false" ht="15" hidden="false" customHeight="false" outlineLevel="0" collapsed="false">
      <c r="A68" s="0" t="n">
        <v>67</v>
      </c>
      <c r="B68" s="6" t="n">
        <v>1</v>
      </c>
      <c r="C68" s="7" t="n">
        <f aca="false">C67*(1-Annahmen!$B$13)+Annahmen!$B$15*(1+(B68-3)/2*Annahmen!$B$16)*(1+Annahmen!$B$25*(L68-Annahmen!$B$26))</f>
        <v>259.513011185764</v>
      </c>
      <c r="D68" s="7" t="n">
        <f aca="false">MIN(100,MAX(0,D67-Annahmen!$B$17*(B68-3)-Annahmen!$B$14*(D67-50)+Annahmen!$B$27*(L68-Annahmen!$B$26)))</f>
        <v>59.6782774114387</v>
      </c>
      <c r="E68" s="7" t="n">
        <f aca="false">E67+Annahmen!$B$12*(C68*Annahmen!$B$11*(D68/100)-E67)</f>
        <v>45.4561698903842</v>
      </c>
      <c r="F68" s="7" t="n">
        <f aca="false">C68*Annahmen!$B$10*(D68/100)</f>
        <v>7.74364473671091</v>
      </c>
      <c r="G68" s="7" t="n">
        <f aca="false">E68*Annahmen!$B$9</f>
        <v>90.9123397807684</v>
      </c>
      <c r="H68" s="7" t="n">
        <f aca="false">Annahmen!$B$18*Annahmen!$B$20*Annahmen!$B$19+Annahmen!$B$21+C68*Annahmen!$B$22</f>
        <v>89.5951301118576</v>
      </c>
      <c r="I68" s="7" t="n">
        <f aca="false">F68+G68-H68</f>
        <v>9.06085440562161</v>
      </c>
      <c r="J68" s="7" t="n">
        <f aca="false">J67+I68</f>
        <v>-563.075589668057</v>
      </c>
      <c r="K68" s="7" t="n">
        <f aca="false">AVERAGE(B63:B67)</f>
        <v>1</v>
      </c>
      <c r="L68" s="7" t="n">
        <f aca="false">ABS(B68-K68)</f>
        <v>0</v>
      </c>
    </row>
    <row r="69" customFormat="false" ht="15" hidden="false" customHeight="false" outlineLevel="0" collapsed="false">
      <c r="A69" s="0" t="n">
        <v>68</v>
      </c>
      <c r="B69" s="6" t="n">
        <v>1</v>
      </c>
      <c r="C69" s="7" t="n">
        <f aca="false">C68*(1-Annahmen!$B$13)+Annahmen!$B$15*(1+(B69-3)/2*Annahmen!$B$16)*(1+Annahmen!$B$25*(L69-Annahmen!$B$26))</f>
        <v>260.227620850191</v>
      </c>
      <c r="D69" s="7" t="n">
        <f aca="false">MIN(100,MAX(0,D68-Annahmen!$B$17*(B69-3)-Annahmen!$B$14*(D68-50)+Annahmen!$B$27*(L69-Annahmen!$B$26)))</f>
        <v>59.6943635408668</v>
      </c>
      <c r="E69" s="7" t="n">
        <f aca="false">E68+Annahmen!$B$12*(C69*Annahmen!$B$11*(D69/100)-E68)</f>
        <v>45.6280993979093</v>
      </c>
      <c r="F69" s="7" t="n">
        <f aca="false">C69*Annahmen!$B$10*(D69/100)</f>
        <v>7.76706110120307</v>
      </c>
      <c r="G69" s="7" t="n">
        <f aca="false">E69*Annahmen!$B$9</f>
        <v>91.2561987958186</v>
      </c>
      <c r="H69" s="7" t="n">
        <f aca="false">Annahmen!$B$18*Annahmen!$B$20*Annahmen!$B$19+Annahmen!$B$21+C69*Annahmen!$B$22</f>
        <v>89.6022762085019</v>
      </c>
      <c r="I69" s="7" t="n">
        <f aca="false">F69+G69-H69</f>
        <v>9.4209836885198</v>
      </c>
      <c r="J69" s="7" t="n">
        <f aca="false">J68+I69</f>
        <v>-553.654605979538</v>
      </c>
      <c r="K69" s="7" t="n">
        <f aca="false">AVERAGE(B64:B68)</f>
        <v>1</v>
      </c>
      <c r="L69" s="7" t="n">
        <f aca="false">ABS(B69-K69)</f>
        <v>0</v>
      </c>
    </row>
    <row r="70" customFormat="false" ht="15" hidden="false" customHeight="false" outlineLevel="0" collapsed="false">
      <c r="A70" s="0" t="n">
        <v>69</v>
      </c>
      <c r="B70" s="6" t="n">
        <v>1</v>
      </c>
      <c r="C70" s="7" t="n">
        <f aca="false">C69*(1-Annahmen!$B$13)+Annahmen!$B$15*(1+(B70-3)/2*Annahmen!$B$16)*(1+Annahmen!$B$25*(L70-Annahmen!$B$26))</f>
        <v>260.920792224685</v>
      </c>
      <c r="D70" s="7" t="n">
        <f aca="false">MIN(100,MAX(0,D69-Annahmen!$B$17*(B70-3)-Annahmen!$B$14*(D69-50)+Annahmen!$B$27*(L70-Annahmen!$B$26)))</f>
        <v>59.7096453638234</v>
      </c>
      <c r="E70" s="7" t="n">
        <f aca="false">E69+Annahmen!$B$12*(C70*Annahmen!$B$11*(D70/100)-E69)</f>
        <v>45.7946540755256</v>
      </c>
      <c r="F70" s="7" t="n">
        <f aca="false">C70*Annahmen!$B$10*(D70/100)</f>
        <v>7.78974398589191</v>
      </c>
      <c r="G70" s="7" t="n">
        <f aca="false">E70*Annahmen!$B$9</f>
        <v>91.5893081510513</v>
      </c>
      <c r="H70" s="7" t="n">
        <f aca="false">Annahmen!$B$18*Annahmen!$B$20*Annahmen!$B$19+Annahmen!$B$21+C70*Annahmen!$B$22</f>
        <v>89.6092079222469</v>
      </c>
      <c r="I70" s="7" t="n">
        <f aca="false">F70+G70-H70</f>
        <v>9.76984421469632</v>
      </c>
      <c r="J70" s="7" t="n">
        <f aca="false">J69+I70</f>
        <v>-543.884761764841</v>
      </c>
      <c r="K70" s="7" t="n">
        <f aca="false">AVERAGE(B65:B69)</f>
        <v>1</v>
      </c>
      <c r="L70" s="7" t="n">
        <f aca="false">ABS(B70-K70)</f>
        <v>0</v>
      </c>
    </row>
    <row r="71" customFormat="false" ht="15" hidden="false" customHeight="false" outlineLevel="0" collapsed="false">
      <c r="A71" s="0" t="n">
        <v>70</v>
      </c>
      <c r="B71" s="6" t="n">
        <v>1</v>
      </c>
      <c r="C71" s="7" t="n">
        <f aca="false">C70*(1-Annahmen!$B$13)+Annahmen!$B$15*(1+(B71-3)/2*Annahmen!$B$16)*(1+Annahmen!$B$25*(L71-Annahmen!$B$26))</f>
        <v>261.593168457945</v>
      </c>
      <c r="D71" s="7" t="n">
        <f aca="false">MIN(100,MAX(0,D70-Annahmen!$B$17*(B71-3)-Annahmen!$B$14*(D70-50)+Annahmen!$B$27*(L71-Annahmen!$B$26)))</f>
        <v>59.7241630956323</v>
      </c>
      <c r="E71" s="7" t="n">
        <f aca="false">E70+Annahmen!$B$12*(C71*Annahmen!$B$11*(D71/100)-E70)</f>
        <v>45.9560008401553</v>
      </c>
      <c r="F71" s="7" t="n">
        <f aca="false">C71*Annahmen!$B$10*(D71/100)</f>
        <v>7.81171652884275</v>
      </c>
      <c r="G71" s="7" t="n">
        <f aca="false">E71*Annahmen!$B$9</f>
        <v>91.9120016803105</v>
      </c>
      <c r="H71" s="7" t="n">
        <f aca="false">Annahmen!$B$18*Annahmen!$B$20*Annahmen!$B$19+Annahmen!$B$21+C71*Annahmen!$B$22</f>
        <v>89.6159316845795</v>
      </c>
      <c r="I71" s="7" t="n">
        <f aca="false">F71+G71-H71</f>
        <v>10.1077865245738</v>
      </c>
      <c r="J71" s="7" t="n">
        <f aca="false">J70+I71</f>
        <v>-533.776975240267</v>
      </c>
      <c r="K71" s="7" t="n">
        <f aca="false">AVERAGE(B66:B70)</f>
        <v>1</v>
      </c>
      <c r="L71" s="7" t="n">
        <f aca="false">ABS(B71-K71)</f>
        <v>0</v>
      </c>
    </row>
    <row r="72" customFormat="false" ht="15" hidden="false" customHeight="false" outlineLevel="0" collapsed="false">
      <c r="A72" s="0" t="n">
        <v>71</v>
      </c>
      <c r="B72" s="6" t="n">
        <v>1</v>
      </c>
      <c r="C72" s="7" t="n">
        <f aca="false">C71*(1-Annahmen!$B$13)+Annahmen!$B$15*(1+(B72-3)/2*Annahmen!$B$16)*(1+Annahmen!$B$25*(L72-Annahmen!$B$26))</f>
        <v>262.245373404207</v>
      </c>
      <c r="D72" s="7" t="n">
        <f aca="false">MIN(100,MAX(0,D71-Annahmen!$B$17*(B72-3)-Annahmen!$B$14*(D71-50)+Annahmen!$B$27*(L72-Annahmen!$B$26)))</f>
        <v>59.7379549408506</v>
      </c>
      <c r="E72" s="7" t="n">
        <f aca="false">E71+Annahmen!$B$12*(C72*Annahmen!$B$11*(D72/100)-E71)</f>
        <v>46.1123017490721</v>
      </c>
      <c r="F72" s="7" t="n">
        <f aca="false">C72*Annahmen!$B$10*(D72/100)</f>
        <v>7.83300114993352</v>
      </c>
      <c r="G72" s="7" t="n">
        <f aca="false">E72*Annahmen!$B$9</f>
        <v>92.2246034981443</v>
      </c>
      <c r="H72" s="7" t="n">
        <f aca="false">Annahmen!$B$18*Annahmen!$B$20*Annahmen!$B$19+Annahmen!$B$21+C72*Annahmen!$B$22</f>
        <v>89.6224537340421</v>
      </c>
      <c r="I72" s="7" t="n">
        <f aca="false">F72+G72-H72</f>
        <v>10.4351509140357</v>
      </c>
      <c r="J72" s="7" t="n">
        <f aca="false">J71+I72</f>
        <v>-523.341824326232</v>
      </c>
      <c r="K72" s="7" t="n">
        <f aca="false">AVERAGE(B67:B71)</f>
        <v>1</v>
      </c>
      <c r="L72" s="7" t="n">
        <f aca="false">ABS(B72-K72)</f>
        <v>0</v>
      </c>
    </row>
    <row r="73" customFormat="false" ht="15" hidden="false" customHeight="false" outlineLevel="0" collapsed="false">
      <c r="A73" s="0" t="n">
        <v>72</v>
      </c>
      <c r="B73" s="6" t="n">
        <v>1</v>
      </c>
      <c r="C73" s="7" t="n">
        <f aca="false">C72*(1-Annahmen!$B$13)+Annahmen!$B$15*(1+(B73-3)/2*Annahmen!$B$16)*(1+Annahmen!$B$25*(L73-Annahmen!$B$26))</f>
        <v>262.87801220208</v>
      </c>
      <c r="D73" s="7" t="n">
        <f aca="false">MIN(100,MAX(0,D72-Annahmen!$B$17*(B73-3)-Annahmen!$B$14*(D72-50)+Annahmen!$B$27*(L73-Annahmen!$B$26)))</f>
        <v>59.7510571938081</v>
      </c>
      <c r="E73" s="7" t="n">
        <f aca="false">E72+Annahmen!$B$12*(C73*Annahmen!$B$11*(D73/100)-E72)</f>
        <v>46.2637141006478</v>
      </c>
      <c r="F73" s="7" t="n">
        <f aca="false">C73*Annahmen!$B$10*(D73/100)</f>
        <v>7.85361957104054</v>
      </c>
      <c r="G73" s="7" t="n">
        <f aca="false">E73*Annahmen!$B$9</f>
        <v>92.5274282012956</v>
      </c>
      <c r="H73" s="7" t="n">
        <f aca="false">Annahmen!$B$18*Annahmen!$B$20*Annahmen!$B$19+Annahmen!$B$21+C73*Annahmen!$B$22</f>
        <v>89.6287801220208</v>
      </c>
      <c r="I73" s="7" t="n">
        <f aca="false">F73+G73-H73</f>
        <v>10.7522676503153</v>
      </c>
      <c r="J73" s="7" t="n">
        <f aca="false">J72+I73</f>
        <v>-512.589556675916</v>
      </c>
      <c r="K73" s="7" t="n">
        <f aca="false">AVERAGE(B68:B72)</f>
        <v>1</v>
      </c>
      <c r="L73" s="7" t="n">
        <f aca="false">ABS(B73-K73)</f>
        <v>0</v>
      </c>
    </row>
    <row r="74" customFormat="false" ht="15" hidden="false" customHeight="false" outlineLevel="0" collapsed="false">
      <c r="A74" s="0" t="n">
        <v>73</v>
      </c>
      <c r="B74" s="6" t="n">
        <v>1</v>
      </c>
      <c r="C74" s="7" t="n">
        <f aca="false">C73*(1-Annahmen!$B$13)+Annahmen!$B$15*(1+(B74-3)/2*Annahmen!$B$16)*(1+Annahmen!$B$25*(L74-Annahmen!$B$26))</f>
        <v>263.491671836018</v>
      </c>
      <c r="D74" s="7" t="n">
        <f aca="false">MIN(100,MAX(0,D73-Annahmen!$B$17*(B74-3)-Annahmen!$B$14*(D73-50)+Annahmen!$B$27*(L74-Annahmen!$B$26)))</f>
        <v>59.7635043341177</v>
      </c>
      <c r="E74" s="7" t="n">
        <f aca="false">E73+Annahmen!$B$12*(C74*Annahmen!$B$11*(D74/100)-E73)</f>
        <v>46.4103905378497</v>
      </c>
      <c r="F74" s="7" t="n">
        <f aca="false">C74*Annahmen!$B$10*(D74/100)</f>
        <v>7.87359283588789</v>
      </c>
      <c r="G74" s="7" t="n">
        <f aca="false">E74*Annahmen!$B$9</f>
        <v>92.8207810756995</v>
      </c>
      <c r="H74" s="7" t="n">
        <f aca="false">Annahmen!$B$18*Annahmen!$B$20*Annahmen!$B$19+Annahmen!$B$21+C74*Annahmen!$B$22</f>
        <v>89.6349167183602</v>
      </c>
      <c r="I74" s="7" t="n">
        <f aca="false">F74+G74-H74</f>
        <v>11.0594571932272</v>
      </c>
      <c r="J74" s="7" t="n">
        <f aca="false">J73+I74</f>
        <v>-501.530099482689</v>
      </c>
      <c r="K74" s="7" t="n">
        <f aca="false">AVERAGE(B69:B73)</f>
        <v>1</v>
      </c>
      <c r="L74" s="7" t="n">
        <f aca="false">ABS(B74-K74)</f>
        <v>0</v>
      </c>
    </row>
    <row r="75" customFormat="false" ht="15" hidden="false" customHeight="false" outlineLevel="0" collapsed="false">
      <c r="A75" s="0" t="n">
        <v>74</v>
      </c>
      <c r="B75" s="6" t="n">
        <v>1</v>
      </c>
      <c r="C75" s="7" t="n">
        <f aca="false">C74*(1-Annahmen!$B$13)+Annahmen!$B$15*(1+(B75-3)/2*Annahmen!$B$16)*(1+Annahmen!$B$25*(L75-Annahmen!$B$26))</f>
        <v>264.086921680937</v>
      </c>
      <c r="D75" s="7" t="n">
        <f aca="false">MIN(100,MAX(0,D74-Annahmen!$B$17*(B75-3)-Annahmen!$B$14*(D74-50)+Annahmen!$B$27*(L75-Annahmen!$B$26)))</f>
        <v>59.7753291174118</v>
      </c>
      <c r="E75" s="7" t="n">
        <f aca="false">E74+Annahmen!$B$12*(C75*Annahmen!$B$11*(D75/100)-E74)</f>
        <v>46.5524791537593</v>
      </c>
      <c r="F75" s="7" t="n">
        <f aca="false">C75*Annahmen!$B$10*(D75/100)</f>
        <v>7.89294132954109</v>
      </c>
      <c r="G75" s="7" t="n">
        <f aca="false">E75*Annahmen!$B$9</f>
        <v>93.1049583075185</v>
      </c>
      <c r="H75" s="7" t="n">
        <f aca="false">Annahmen!$B$18*Annahmen!$B$20*Annahmen!$B$19+Annahmen!$B$21+C75*Annahmen!$B$22</f>
        <v>89.6408692168094</v>
      </c>
      <c r="I75" s="7" t="n">
        <f aca="false">F75+G75-H75</f>
        <v>11.3570304202502</v>
      </c>
      <c r="J75" s="7" t="n">
        <f aca="false">J74+I75</f>
        <v>-490.173069062439</v>
      </c>
      <c r="K75" s="7" t="n">
        <f aca="false">AVERAGE(B70:B74)</f>
        <v>1</v>
      </c>
      <c r="L75" s="7" t="n">
        <f aca="false">ABS(B75-K75)</f>
        <v>0</v>
      </c>
    </row>
    <row r="76" customFormat="false" ht="15" hidden="false" customHeight="false" outlineLevel="0" collapsed="false">
      <c r="A76" s="0" t="n">
        <v>75</v>
      </c>
      <c r="B76" s="6" t="n">
        <v>1</v>
      </c>
      <c r="C76" s="7" t="n">
        <f aca="false">C75*(1-Annahmen!$B$13)+Annahmen!$B$15*(1+(B76-3)/2*Annahmen!$B$16)*(1+Annahmen!$B$25*(L76-Annahmen!$B$26))</f>
        <v>264.664314030509</v>
      </c>
      <c r="D76" s="7" t="n">
        <f aca="false">MIN(100,MAX(0,D75-Annahmen!$B$17*(B76-3)-Annahmen!$B$14*(D75-50)+Annahmen!$B$27*(L76-Annahmen!$B$26)))</f>
        <v>59.7865626615412</v>
      </c>
      <c r="E76" s="7" t="n">
        <f aca="false">E75+Annahmen!$B$12*(C76*Annahmen!$B$11*(D76/100)-E75)</f>
        <v>46.6901235984719</v>
      </c>
      <c r="F76" s="7" t="n">
        <f aca="false">C76*Annahmen!$B$10*(D76/100)</f>
        <v>7.91168479752943</v>
      </c>
      <c r="G76" s="7" t="n">
        <f aca="false">E76*Annahmen!$B$9</f>
        <v>93.3802471969437</v>
      </c>
      <c r="H76" s="7" t="n">
        <f aca="false">Annahmen!$B$18*Annahmen!$B$20*Annahmen!$B$19+Annahmen!$B$21+C76*Annahmen!$B$22</f>
        <v>89.6466431403051</v>
      </c>
      <c r="I76" s="7" t="n">
        <f aca="false">F76+G76-H76</f>
        <v>11.645288854168</v>
      </c>
      <c r="J76" s="7" t="n">
        <f aca="false">J75+I76</f>
        <v>-478.527780208271</v>
      </c>
      <c r="K76" s="7" t="n">
        <f aca="false">AVERAGE(B71:B75)</f>
        <v>1</v>
      </c>
      <c r="L76" s="7" t="n">
        <f aca="false">ABS(B76-K76)</f>
        <v>0</v>
      </c>
    </row>
    <row r="77" customFormat="false" ht="15" hidden="false" customHeight="false" outlineLevel="0" collapsed="false">
      <c r="A77" s="0" t="n">
        <v>76</v>
      </c>
      <c r="B77" s="6" t="n">
        <v>1</v>
      </c>
      <c r="C77" s="7" t="n">
        <f aca="false">C76*(1-Annahmen!$B$13)+Annahmen!$B$15*(1+(B77-3)/2*Annahmen!$B$16)*(1+Annahmen!$B$25*(L77-Annahmen!$B$26))</f>
        <v>265.224384609594</v>
      </c>
      <c r="D77" s="7" t="n">
        <f aca="false">MIN(100,MAX(0,D76-Annahmen!$B$17*(B77-3)-Annahmen!$B$14*(D76-50)+Annahmen!$B$27*(L77-Annahmen!$B$26)))</f>
        <v>59.7972345284642</v>
      </c>
      <c r="E77" s="7" t="n">
        <f aca="false">E76+Annahmen!$B$12*(C77*Annahmen!$B$11*(D77/100)-E76)</f>
        <v>46.8234631868264</v>
      </c>
      <c r="F77" s="7" t="n">
        <f aca="false">C77*Annahmen!$B$10*(D77/100)</f>
        <v>7.92984236458374</v>
      </c>
      <c r="G77" s="7" t="n">
        <f aca="false">E77*Annahmen!$B$9</f>
        <v>93.6469263736529</v>
      </c>
      <c r="H77" s="7" t="n">
        <f aca="false">Annahmen!$B$18*Annahmen!$B$20*Annahmen!$B$19+Annahmen!$B$21+C77*Annahmen!$B$22</f>
        <v>89.6522438460959</v>
      </c>
      <c r="I77" s="7" t="n">
        <f aca="false">F77+G77-H77</f>
        <v>11.9245248921407</v>
      </c>
      <c r="J77" s="7" t="n">
        <f aca="false">J76+I77</f>
        <v>-466.60325531613</v>
      </c>
      <c r="K77" s="7" t="n">
        <f aca="false">AVERAGE(B72:B76)</f>
        <v>1</v>
      </c>
      <c r="L77" s="7" t="n">
        <f aca="false">ABS(B77-K77)</f>
        <v>0</v>
      </c>
    </row>
    <row r="78" customFormat="false" ht="15" hidden="false" customHeight="false" outlineLevel="0" collapsed="false">
      <c r="A78" s="0" t="n">
        <v>77</v>
      </c>
      <c r="B78" s="6" t="n">
        <v>1</v>
      </c>
      <c r="C78" s="7" t="n">
        <f aca="false">C77*(1-Annahmen!$B$13)+Annahmen!$B$15*(1+(B78-3)/2*Annahmen!$B$16)*(1+Annahmen!$B$25*(L78-Annahmen!$B$26))</f>
        <v>265.767653071306</v>
      </c>
      <c r="D78" s="7" t="n">
        <f aca="false">MIN(100,MAX(0,D77-Annahmen!$B$17*(B78-3)-Annahmen!$B$14*(D77-50)+Annahmen!$B$27*(L78-Annahmen!$B$26)))</f>
        <v>59.807372802041</v>
      </c>
      <c r="E78" s="7" t="n">
        <f aca="false">E77+Annahmen!$B$12*(C78*Annahmen!$B$11*(D78/100)-E77)</f>
        <v>46.9526330064841</v>
      </c>
      <c r="F78" s="7" t="n">
        <f aca="false">C78*Annahmen!$B$10*(D78/100)</f>
        <v>7.94743255297955</v>
      </c>
      <c r="G78" s="7" t="n">
        <f aca="false">E78*Annahmen!$B$9</f>
        <v>93.9052660129681</v>
      </c>
      <c r="H78" s="7" t="n">
        <f aca="false">Annahmen!$B$18*Annahmen!$B$20*Annahmen!$B$19+Annahmen!$B$21+C78*Annahmen!$B$22</f>
        <v>89.6576765307131</v>
      </c>
      <c r="I78" s="7" t="n">
        <f aca="false">F78+G78-H78</f>
        <v>12.1950220352346</v>
      </c>
      <c r="J78" s="7" t="n">
        <f aca="false">J77+I78</f>
        <v>-454.408233280896</v>
      </c>
      <c r="K78" s="7" t="n">
        <f aca="false">AVERAGE(B73:B77)</f>
        <v>1</v>
      </c>
      <c r="L78" s="7" t="n">
        <f aca="false">ABS(B78-K78)</f>
        <v>0</v>
      </c>
    </row>
    <row r="79" customFormat="false" ht="15" hidden="false" customHeight="false" outlineLevel="0" collapsed="false">
      <c r="A79" s="0" t="n">
        <v>78</v>
      </c>
      <c r="B79" s="6" t="n">
        <v>1</v>
      </c>
      <c r="C79" s="7" t="n">
        <f aca="false">C78*(1-Annahmen!$B$13)+Annahmen!$B$15*(1+(B79-3)/2*Annahmen!$B$16)*(1+Annahmen!$B$25*(L79-Annahmen!$B$26))</f>
        <v>266.294623479167</v>
      </c>
      <c r="D79" s="7" t="n">
        <f aca="false">MIN(100,MAX(0,D78-Annahmen!$B$17*(B79-3)-Annahmen!$B$14*(D78-50)+Annahmen!$B$27*(L79-Annahmen!$B$26)))</f>
        <v>59.8170041619389</v>
      </c>
      <c r="E79" s="7" t="n">
        <f aca="false">E78+Annahmen!$B$12*(C79*Annahmen!$B$11*(D79/100)-E78)</f>
        <v>47.0777640259413</v>
      </c>
      <c r="F79" s="7" t="n">
        <f aca="false">C79*Annahmen!$B$10*(D79/100)</f>
        <v>7.96447330047764</v>
      </c>
      <c r="G79" s="7" t="n">
        <f aca="false">E79*Annahmen!$B$9</f>
        <v>94.1555280518827</v>
      </c>
      <c r="H79" s="7" t="n">
        <f aca="false">Annahmen!$B$18*Annahmen!$B$20*Annahmen!$B$19+Annahmen!$B$21+C79*Annahmen!$B$22</f>
        <v>89.6629462347917</v>
      </c>
      <c r="I79" s="7" t="n">
        <f aca="false">F79+G79-H79</f>
        <v>12.4570551175686</v>
      </c>
      <c r="J79" s="7" t="n">
        <f aca="false">J78+I79</f>
        <v>-441.951178163327</v>
      </c>
      <c r="K79" s="7" t="n">
        <f aca="false">AVERAGE(B74:B78)</f>
        <v>1</v>
      </c>
      <c r="L79" s="7" t="n">
        <f aca="false">ABS(B79-K79)</f>
        <v>0</v>
      </c>
    </row>
    <row r="80" customFormat="false" ht="15" hidden="false" customHeight="false" outlineLevel="0" collapsed="false">
      <c r="A80" s="0" t="n">
        <v>79</v>
      </c>
      <c r="B80" s="6" t="n">
        <v>1</v>
      </c>
      <c r="C80" s="7" t="n">
        <f aca="false">C79*(1-Annahmen!$B$13)+Annahmen!$B$15*(1+(B80-3)/2*Annahmen!$B$16)*(1+Annahmen!$B$25*(L80-Annahmen!$B$26))</f>
        <v>266.805784774792</v>
      </c>
      <c r="D80" s="7" t="n">
        <f aca="false">MIN(100,MAX(0,D79-Annahmen!$B$17*(B80-3)-Annahmen!$B$14*(D79-50)+Annahmen!$B$27*(L80-Annahmen!$B$26)))</f>
        <v>59.826153953842</v>
      </c>
      <c r="E80" s="7" t="n">
        <f aca="false">E79+Annahmen!$B$12*(C80*Annahmen!$B$11*(D80/100)-E79)</f>
        <v>47.1989832021207</v>
      </c>
      <c r="F80" s="7" t="n">
        <f aca="false">C80*Annahmen!$B$10*(D80/100)</f>
        <v>7.98098197785616</v>
      </c>
      <c r="G80" s="7" t="n">
        <f aca="false">E80*Annahmen!$B$9</f>
        <v>94.3979664042413</v>
      </c>
      <c r="H80" s="7" t="n">
        <f aca="false">Annahmen!$B$18*Annahmen!$B$20*Annahmen!$B$19+Annahmen!$B$21+C80*Annahmen!$B$22</f>
        <v>89.6680578477479</v>
      </c>
      <c r="I80" s="7" t="n">
        <f aca="false">F80+G80-H80</f>
        <v>12.7108905343496</v>
      </c>
      <c r="J80" s="7" t="n">
        <f aca="false">J79+I80</f>
        <v>-429.240287628977</v>
      </c>
      <c r="K80" s="7" t="n">
        <f aca="false">AVERAGE(B75:B79)</f>
        <v>1</v>
      </c>
      <c r="L80" s="7" t="n">
        <f aca="false">ABS(B80-K80)</f>
        <v>0</v>
      </c>
    </row>
    <row r="81" customFormat="false" ht="15" hidden="false" customHeight="false" outlineLevel="0" collapsed="false">
      <c r="A81" s="0" t="n">
        <v>80</v>
      </c>
      <c r="B81" s="6" t="n">
        <v>1</v>
      </c>
      <c r="C81" s="7" t="n">
        <f aca="false">C80*(1-Annahmen!$B$13)+Annahmen!$B$15*(1+(B81-3)/2*Annahmen!$B$16)*(1+Annahmen!$B$25*(L81-Annahmen!$B$26))</f>
        <v>267.301611231548</v>
      </c>
      <c r="D81" s="7" t="n">
        <f aca="false">MIN(100,MAX(0,D80-Annahmen!$B$17*(B81-3)-Annahmen!$B$14*(D80-50)+Annahmen!$B$27*(L81-Annahmen!$B$26)))</f>
        <v>59.8348462561499</v>
      </c>
      <c r="E81" s="7" t="n">
        <f aca="false">E80+Annahmen!$B$12*(C81*Annahmen!$B$11*(D81/100)-E80)</f>
        <v>47.3164135872299</v>
      </c>
      <c r="F81" s="7" t="n">
        <f aca="false">C81*Annahmen!$B$10*(D81/100)</f>
        <v>7.99697540603041</v>
      </c>
      <c r="G81" s="7" t="n">
        <f aca="false">E81*Annahmen!$B$9</f>
        <v>94.6328271744599</v>
      </c>
      <c r="H81" s="7" t="n">
        <f aca="false">Annahmen!$B$18*Annahmen!$B$20*Annahmen!$B$19+Annahmen!$B$21+C81*Annahmen!$B$22</f>
        <v>89.6730161123155</v>
      </c>
      <c r="I81" s="7" t="n">
        <f aca="false">F81+G81-H81</f>
        <v>12.9567864681748</v>
      </c>
      <c r="J81" s="7" t="n">
        <f aca="false">J80+I81</f>
        <v>-416.283501160803</v>
      </c>
      <c r="K81" s="7" t="n">
        <f aca="false">AVERAGE(B76:B80)</f>
        <v>1</v>
      </c>
      <c r="L81" s="7" t="n">
        <f aca="false">ABS(B81-K81)</f>
        <v>0</v>
      </c>
    </row>
    <row r="82" customFormat="false" ht="15" hidden="false" customHeight="false" outlineLevel="0" collapsed="false">
      <c r="A82" s="0" t="n">
        <v>81</v>
      </c>
      <c r="B82" s="6" t="n">
        <v>1</v>
      </c>
      <c r="C82" s="7" t="n">
        <f aca="false">C81*(1-Annahmen!$B$13)+Annahmen!$B$15*(1+(B82-3)/2*Annahmen!$B$16)*(1+Annahmen!$B$25*(L82-Annahmen!$B$26))</f>
        <v>267.782562894602</v>
      </c>
      <c r="D82" s="7" t="n">
        <f aca="false">MIN(100,MAX(0,D81-Annahmen!$B$17*(B82-3)-Annahmen!$B$14*(D81-50)+Annahmen!$B$27*(L82-Annahmen!$B$26)))</f>
        <v>59.8431039433424</v>
      </c>
      <c r="E82" s="7" t="n">
        <f aca="false">E81+Annahmen!$B$12*(C82*Annahmen!$B$11*(D82/100)-E81)</f>
        <v>47.4301744346278</v>
      </c>
      <c r="F82" s="7" t="n">
        <f aca="false">C82*Annahmen!$B$10*(D82/100)</f>
        <v>8.01246987275813</v>
      </c>
      <c r="G82" s="7" t="n">
        <f aca="false">E82*Annahmen!$B$9</f>
        <v>94.8603488692555</v>
      </c>
      <c r="H82" s="7" t="n">
        <f aca="false">Annahmen!$B$18*Annahmen!$B$20*Annahmen!$B$19+Annahmen!$B$21+C82*Annahmen!$B$22</f>
        <v>89.677825628946</v>
      </c>
      <c r="I82" s="7" t="n">
        <f aca="false">F82+G82-H82</f>
        <v>13.1949931130677</v>
      </c>
      <c r="J82" s="7" t="n">
        <f aca="false">J81+I82</f>
        <v>-403.088508047735</v>
      </c>
      <c r="K82" s="7" t="n">
        <f aca="false">AVERAGE(B77:B81)</f>
        <v>1</v>
      </c>
      <c r="L82" s="7" t="n">
        <f aca="false">ABS(B82-K82)</f>
        <v>0</v>
      </c>
    </row>
    <row r="83" customFormat="false" ht="15" hidden="false" customHeight="false" outlineLevel="0" collapsed="false">
      <c r="A83" s="0" t="n">
        <v>82</v>
      </c>
      <c r="B83" s="6" t="n">
        <v>1</v>
      </c>
      <c r="C83" s="7" t="n">
        <f aca="false">C82*(1-Annahmen!$B$13)+Annahmen!$B$15*(1+(B83-3)/2*Annahmen!$B$16)*(1+Annahmen!$B$25*(L83-Annahmen!$B$26))</f>
        <v>268.249086007764</v>
      </c>
      <c r="D83" s="7" t="n">
        <f aca="false">MIN(100,MAX(0,D82-Annahmen!$B$17*(B83-3)-Annahmen!$B$14*(D82-50)+Annahmen!$B$27*(L83-Annahmen!$B$26)))</f>
        <v>59.8509487461753</v>
      </c>
      <c r="E83" s="7" t="n">
        <f aca="false">E82+Annahmen!$B$12*(C83*Annahmen!$B$11*(D83/100)-E82)</f>
        <v>47.5403813034702</v>
      </c>
      <c r="F83" s="7" t="n">
        <f aca="false">C83*Annahmen!$B$10*(D83/100)</f>
        <v>8.02748114892951</v>
      </c>
      <c r="G83" s="7" t="n">
        <f aca="false">E83*Annahmen!$B$9</f>
        <v>95.0807626069403</v>
      </c>
      <c r="H83" s="7" t="n">
        <f aca="false">Annahmen!$B$18*Annahmen!$B$20*Annahmen!$B$19+Annahmen!$B$21+C83*Annahmen!$B$22</f>
        <v>89.6824908600776</v>
      </c>
      <c r="I83" s="7" t="n">
        <f aca="false">F83+G83-H83</f>
        <v>13.4257528957922</v>
      </c>
      <c r="J83" s="7" t="n">
        <f aca="false">J82+I83</f>
        <v>-389.662755151943</v>
      </c>
      <c r="K83" s="7" t="n">
        <f aca="false">AVERAGE(B78:B82)</f>
        <v>1</v>
      </c>
      <c r="L83" s="7" t="n">
        <f aca="false">ABS(B83-K83)</f>
        <v>0</v>
      </c>
    </row>
    <row r="84" customFormat="false" ht="15" hidden="false" customHeight="false" outlineLevel="0" collapsed="false">
      <c r="A84" s="0" t="n">
        <v>83</v>
      </c>
      <c r="B84" s="6" t="n">
        <v>1</v>
      </c>
      <c r="C84" s="7" t="n">
        <f aca="false">C83*(1-Annahmen!$B$13)+Annahmen!$B$15*(1+(B84-3)/2*Annahmen!$B$16)*(1+Annahmen!$B$25*(L84-Annahmen!$B$26))</f>
        <v>268.701613427531</v>
      </c>
      <c r="D84" s="7" t="n">
        <f aca="false">MIN(100,MAX(0,D83-Annahmen!$B$17*(B84-3)-Annahmen!$B$14*(D83-50)+Annahmen!$B$27*(L84-Annahmen!$B$26)))</f>
        <v>59.8584013088665</v>
      </c>
      <c r="E84" s="7" t="n">
        <f aca="false">E83+Annahmen!$B$12*(C84*Annahmen!$B$11*(D84/100)-E83)</f>
        <v>47.6471461619479</v>
      </c>
      <c r="F84" s="7" t="n">
        <f aca="false">C84*Annahmen!$B$10*(D84/100)</f>
        <v>8.04202450444252</v>
      </c>
      <c r="G84" s="7" t="n">
        <f aca="false">E84*Annahmen!$B$9</f>
        <v>95.2942923238958</v>
      </c>
      <c r="H84" s="7" t="n">
        <f aca="false">Annahmen!$B$18*Annahmen!$B$20*Annahmen!$B$19+Annahmen!$B$21+C84*Annahmen!$B$22</f>
        <v>89.6870161342753</v>
      </c>
      <c r="I84" s="7" t="n">
        <f aca="false">F84+G84-H84</f>
        <v>13.649300694063</v>
      </c>
      <c r="J84" s="7" t="n">
        <f aca="false">J83+I84</f>
        <v>-376.01345445788</v>
      </c>
      <c r="K84" s="7" t="n">
        <f aca="false">AVERAGE(B79:B83)</f>
        <v>1</v>
      </c>
      <c r="L84" s="7" t="n">
        <f aca="false">ABS(B84-K84)</f>
        <v>0</v>
      </c>
    </row>
    <row r="85" customFormat="false" ht="15" hidden="false" customHeight="false" outlineLevel="0" collapsed="false">
      <c r="A85" s="0" t="n">
        <v>84</v>
      </c>
      <c r="B85" s="6" t="n">
        <v>1</v>
      </c>
      <c r="C85" s="7" t="n">
        <f aca="false">C84*(1-Annahmen!$B$13)+Annahmen!$B$15*(1+(B85-3)/2*Annahmen!$B$16)*(1+Annahmen!$B$25*(L85-Annahmen!$B$26))</f>
        <v>269.140565024705</v>
      </c>
      <c r="D85" s="7" t="n">
        <f aca="false">MIN(100,MAX(0,D84-Annahmen!$B$17*(B85-3)-Annahmen!$B$14*(D84-50)+Annahmen!$B$27*(L85-Annahmen!$B$26)))</f>
        <v>59.8654812434232</v>
      </c>
      <c r="E85" s="7" t="n">
        <f aca="false">E84+Annahmen!$B$12*(C85*Annahmen!$B$11*(D85/100)-E84)</f>
        <v>47.7505774889546</v>
      </c>
      <c r="F85" s="7" t="n">
        <f aca="false">C85*Annahmen!$B$10*(D85/100)</f>
        <v>8.05611472366539</v>
      </c>
      <c r="G85" s="7" t="n">
        <f aca="false">E85*Annahmen!$B$9</f>
        <v>95.5011549779091</v>
      </c>
      <c r="H85" s="7" t="n">
        <f aca="false">Annahmen!$B$18*Annahmen!$B$20*Annahmen!$B$19+Annahmen!$B$21+C85*Annahmen!$B$22</f>
        <v>89.6914056502471</v>
      </c>
      <c r="I85" s="7" t="n">
        <f aca="false">F85+G85-H85</f>
        <v>13.8658640513275</v>
      </c>
      <c r="J85" s="7" t="n">
        <f aca="false">J84+I85</f>
        <v>-362.147590406552</v>
      </c>
      <c r="K85" s="7" t="n">
        <f aca="false">AVERAGE(B80:B84)</f>
        <v>1</v>
      </c>
      <c r="L85" s="7" t="n">
        <f aca="false">ABS(B85-K85)</f>
        <v>0</v>
      </c>
    </row>
    <row r="86" customFormat="false" ht="15" hidden="false" customHeight="false" outlineLevel="0" collapsed="false">
      <c r="A86" s="0" t="n">
        <v>85</v>
      </c>
      <c r="B86" s="6" t="n">
        <v>1</v>
      </c>
      <c r="C86" s="7" t="n">
        <f aca="false">C85*(1-Annahmen!$B$13)+Annahmen!$B$15*(1+(B86-3)/2*Annahmen!$B$16)*(1+Annahmen!$B$25*(L86-Annahmen!$B$26))</f>
        <v>269.566348073964</v>
      </c>
      <c r="D86" s="7" t="n">
        <f aca="false">MIN(100,MAX(0,D85-Annahmen!$B$17*(B86-3)-Annahmen!$B$14*(D85-50)+Annahmen!$B$27*(L86-Annahmen!$B$26)))</f>
        <v>59.872207181252</v>
      </c>
      <c r="E86" s="7" t="n">
        <f aca="false">E85+Annahmen!$B$12*(C86*Annahmen!$B$11*(D86/100)-E85)</f>
        <v>47.8507803740514</v>
      </c>
      <c r="F86" s="7" t="n">
        <f aca="false">C86*Annahmen!$B$10*(D86/100)</f>
        <v>8.06976612048892</v>
      </c>
      <c r="G86" s="7" t="n">
        <f aca="false">E86*Annahmen!$B$9</f>
        <v>95.7015607481028</v>
      </c>
      <c r="H86" s="7" t="n">
        <f aca="false">Annahmen!$B$18*Annahmen!$B$20*Annahmen!$B$19+Annahmen!$B$21+C86*Annahmen!$B$22</f>
        <v>89.6956634807396</v>
      </c>
      <c r="I86" s="7" t="n">
        <f aca="false">F86+G86-H86</f>
        <v>14.0756633878521</v>
      </c>
      <c r="J86" s="7" t="n">
        <f aca="false">J85+I86</f>
        <v>-348.0719270187</v>
      </c>
      <c r="K86" s="7" t="n">
        <f aca="false">AVERAGE(B81:B85)</f>
        <v>1</v>
      </c>
      <c r="L86" s="7" t="n">
        <f aca="false">ABS(B86-K86)</f>
        <v>0</v>
      </c>
    </row>
    <row r="87" customFormat="false" ht="15" hidden="false" customHeight="false" outlineLevel="0" collapsed="false">
      <c r="A87" s="0" t="n">
        <v>86</v>
      </c>
      <c r="B87" s="6" t="n">
        <v>1</v>
      </c>
      <c r="C87" s="7" t="n">
        <f aca="false">C86*(1-Annahmen!$B$13)+Annahmen!$B$15*(1+(B87-3)/2*Annahmen!$B$16)*(1+Annahmen!$B$25*(L87-Annahmen!$B$26))</f>
        <v>269.979357631745</v>
      </c>
      <c r="D87" s="7" t="n">
        <f aca="false">MIN(100,MAX(0,D86-Annahmen!$B$17*(B87-3)-Annahmen!$B$14*(D86-50)+Annahmen!$B$27*(L87-Annahmen!$B$26)))</f>
        <v>59.8785968221894</v>
      </c>
      <c r="E87" s="7" t="n">
        <f aca="false">E86+Annahmen!$B$12*(C87*Annahmen!$B$11*(D87/100)-E86)</f>
        <v>47.9478566156189</v>
      </c>
      <c r="F87" s="7" t="n">
        <f aca="false">C87*Annahmen!$B$10*(D87/100)</f>
        <v>8.08299255297246</v>
      </c>
      <c r="G87" s="7" t="n">
        <f aca="false">E87*Annahmen!$B$9</f>
        <v>95.8957132312378</v>
      </c>
      <c r="H87" s="7" t="n">
        <f aca="false">Annahmen!$B$18*Annahmen!$B$20*Annahmen!$B$19+Annahmen!$B$21+C87*Annahmen!$B$22</f>
        <v>89.6997935763175</v>
      </c>
      <c r="I87" s="7" t="n">
        <f aca="false">F87+G87-H87</f>
        <v>14.2789122078928</v>
      </c>
      <c r="J87" s="7" t="n">
        <f aca="false">J86+I87</f>
        <v>-333.793014810807</v>
      </c>
      <c r="K87" s="7" t="n">
        <f aca="false">AVERAGE(B82:B86)</f>
        <v>1</v>
      </c>
      <c r="L87" s="7" t="n">
        <f aca="false">ABS(B87-K87)</f>
        <v>0</v>
      </c>
    </row>
    <row r="88" customFormat="false" ht="15" hidden="false" customHeight="false" outlineLevel="0" collapsed="false">
      <c r="A88" s="0" t="n">
        <v>87</v>
      </c>
      <c r="B88" s="6" t="n">
        <v>1</v>
      </c>
      <c r="C88" s="7" t="n">
        <f aca="false">C87*(1-Annahmen!$B$13)+Annahmen!$B$15*(1+(B88-3)/2*Annahmen!$B$16)*(1+Annahmen!$B$25*(L88-Annahmen!$B$26))</f>
        <v>270.379976902792</v>
      </c>
      <c r="D88" s="7" t="n">
        <f aca="false">MIN(100,MAX(0,D87-Annahmen!$B$17*(B88-3)-Annahmen!$B$14*(D87-50)+Annahmen!$B$27*(L88-Annahmen!$B$26)))</f>
        <v>59.8846669810799</v>
      </c>
      <c r="E88" s="7" t="n">
        <f aca="false">E87+Annahmen!$B$12*(C88*Annahmen!$B$11*(D88/100)-E87)</f>
        <v>48.0419048171052</v>
      </c>
      <c r="F88" s="7" t="n">
        <f aca="false">C88*Annahmen!$B$10*(D88/100)</f>
        <v>8.0958074375879</v>
      </c>
      <c r="G88" s="7" t="n">
        <f aca="false">E88*Annahmen!$B$9</f>
        <v>96.0838096342104</v>
      </c>
      <c r="H88" s="7" t="n">
        <f aca="false">Annahmen!$B$18*Annahmen!$B$20*Annahmen!$B$19+Annahmen!$B$21+C88*Annahmen!$B$22</f>
        <v>89.7037997690279</v>
      </c>
      <c r="I88" s="7" t="n">
        <f aca="false">F88+G88-H88</f>
        <v>14.4758173027703</v>
      </c>
      <c r="J88" s="7" t="n">
        <f aca="false">J87+I88</f>
        <v>-319.317197508037</v>
      </c>
      <c r="K88" s="7" t="n">
        <f aca="false">AVERAGE(B83:B87)</f>
        <v>1</v>
      </c>
      <c r="L88" s="7" t="n">
        <f aca="false">ABS(B88-K88)</f>
        <v>0</v>
      </c>
    </row>
    <row r="89" customFormat="false" ht="15" hidden="false" customHeight="false" outlineLevel="0" collapsed="false">
      <c r="A89" s="0" t="n">
        <v>88</v>
      </c>
      <c r="B89" s="6" t="n">
        <v>1</v>
      </c>
      <c r="C89" s="7" t="n">
        <f aca="false">C88*(1-Annahmen!$B$13)+Annahmen!$B$15*(1+(B89-3)/2*Annahmen!$B$16)*(1+Annahmen!$B$25*(L89-Annahmen!$B$26))</f>
        <v>270.768577595709</v>
      </c>
      <c r="D89" s="7" t="n">
        <f aca="false">MIN(100,MAX(0,D88-Annahmen!$B$17*(B89-3)-Annahmen!$B$14*(D88-50)+Annahmen!$B$27*(L89-Annahmen!$B$26)))</f>
        <v>59.8904336320259</v>
      </c>
      <c r="E89" s="7" t="n">
        <f aca="false">E88+Annahmen!$B$12*(C89*Annahmen!$B$11*(D89/100)-E88)</f>
        <v>48.1330204812996</v>
      </c>
      <c r="F89" s="7" t="n">
        <f aca="false">C89*Annahmen!$B$10*(D89/100)</f>
        <v>8.10822376306692</v>
      </c>
      <c r="G89" s="7" t="n">
        <f aca="false">E89*Annahmen!$B$9</f>
        <v>96.2660409625993</v>
      </c>
      <c r="H89" s="7" t="n">
        <f aca="false">Annahmen!$B$18*Annahmen!$B$20*Annahmen!$B$19+Annahmen!$B$21+C89*Annahmen!$B$22</f>
        <v>89.7076857759571</v>
      </c>
      <c r="I89" s="7" t="n">
        <f aca="false">F89+G89-H89</f>
        <v>14.6665789497091</v>
      </c>
      <c r="J89" s="7" t="n">
        <f aca="false">J88+I89</f>
        <v>-304.650618558328</v>
      </c>
      <c r="K89" s="7" t="n">
        <f aca="false">AVERAGE(B84:B88)</f>
        <v>1</v>
      </c>
      <c r="L89" s="7" t="n">
        <f aca="false">ABS(B89-K89)</f>
        <v>0</v>
      </c>
    </row>
    <row r="90" customFormat="false" ht="15" hidden="false" customHeight="false" outlineLevel="0" collapsed="false">
      <c r="A90" s="0" t="n">
        <v>89</v>
      </c>
      <c r="B90" s="6" t="n">
        <v>1</v>
      </c>
      <c r="C90" s="7" t="n">
        <f aca="false">C89*(1-Annahmen!$B$13)+Annahmen!$B$15*(1+(B90-3)/2*Annahmen!$B$16)*(1+Annahmen!$B$25*(L90-Annahmen!$B$26))</f>
        <v>271.145520267837</v>
      </c>
      <c r="D90" s="7" t="n">
        <f aca="false">MIN(100,MAX(0,D89-Annahmen!$B$17*(B90-3)-Annahmen!$B$14*(D89-50)+Annahmen!$B$27*(L90-Annahmen!$B$26)))</f>
        <v>59.8959119504246</v>
      </c>
      <c r="E90" s="7" t="n">
        <f aca="false">E89+Annahmen!$B$12*(C90*Annahmen!$B$11*(D90/100)-E89)</f>
        <v>48.2212961025762</v>
      </c>
      <c r="F90" s="7" t="n">
        <f aca="false">C90*Annahmen!$B$10*(D90/100)</f>
        <v>8.12025410385723</v>
      </c>
      <c r="G90" s="7" t="n">
        <f aca="false">E90*Annahmen!$B$9</f>
        <v>96.4425922051524</v>
      </c>
      <c r="H90" s="7" t="n">
        <f aca="false">Annahmen!$B$18*Annahmen!$B$20*Annahmen!$B$19+Annahmen!$B$21+C90*Annahmen!$B$22</f>
        <v>89.7114552026784</v>
      </c>
      <c r="I90" s="7" t="n">
        <f aca="false">F90+G90-H90</f>
        <v>14.8513911063313</v>
      </c>
      <c r="J90" s="7" t="n">
        <f aca="false">J89+I90</f>
        <v>-289.799227451997</v>
      </c>
      <c r="K90" s="7" t="n">
        <f aca="false">AVERAGE(B85:B89)</f>
        <v>1</v>
      </c>
      <c r="L90" s="7" t="n">
        <f aca="false">ABS(B90-K90)</f>
        <v>0</v>
      </c>
    </row>
    <row r="91" customFormat="false" ht="15" hidden="false" customHeight="false" outlineLevel="0" collapsed="false">
      <c r="A91" s="0" t="n">
        <v>90</v>
      </c>
      <c r="B91" s="6" t="n">
        <v>1</v>
      </c>
      <c r="C91" s="7" t="n">
        <f aca="false">C90*(1-Annahmen!$B$13)+Annahmen!$B$15*(1+(B91-3)/2*Annahmen!$B$16)*(1+Annahmen!$B$25*(L91-Annahmen!$B$26))</f>
        <v>271.511154659802</v>
      </c>
      <c r="D91" s="7" t="n">
        <f aca="false">MIN(100,MAX(0,D90-Annahmen!$B$17*(B91-3)-Annahmen!$B$14*(D90-50)+Annahmen!$B$27*(L91-Annahmen!$B$26)))</f>
        <v>59.9011163529034</v>
      </c>
      <c r="E91" s="7" t="n">
        <f aca="false">E90+Annahmen!$B$12*(C91*Annahmen!$B$11*(D91/100)-E90)</f>
        <v>48.3068212570643</v>
      </c>
      <c r="F91" s="7" t="n">
        <f aca="false">C91*Annahmen!$B$10*(D91/100)</f>
        <v>8.13191063319398</v>
      </c>
      <c r="G91" s="7" t="n">
        <f aca="false">E91*Annahmen!$B$9</f>
        <v>96.6136425141287</v>
      </c>
      <c r="H91" s="7" t="n">
        <f aca="false">Annahmen!$B$18*Annahmen!$B$20*Annahmen!$B$19+Annahmen!$B$21+C91*Annahmen!$B$22</f>
        <v>89.715111546598</v>
      </c>
      <c r="I91" s="7" t="n">
        <f aca="false">F91+G91-H91</f>
        <v>15.0304416007246</v>
      </c>
      <c r="J91" s="7" t="n">
        <f aca="false">J90+I91</f>
        <v>-274.768785851272</v>
      </c>
      <c r="K91" s="7" t="n">
        <f aca="false">AVERAGE(B86:B90)</f>
        <v>1</v>
      </c>
      <c r="L91" s="7" t="n">
        <f aca="false">ABS(B91-K91)</f>
        <v>0</v>
      </c>
    </row>
    <row r="92" customFormat="false" ht="15" hidden="false" customHeight="false" outlineLevel="0" collapsed="false">
      <c r="A92" s="0" t="n">
        <v>91</v>
      </c>
      <c r="B92" s="6" t="n">
        <v>1</v>
      </c>
      <c r="C92" s="7" t="n">
        <f aca="false">C91*(1-Annahmen!$B$13)+Annahmen!$B$15*(1+(B92-3)/2*Annahmen!$B$16)*(1+Annahmen!$B$25*(L92-Annahmen!$B$26))</f>
        <v>271.865820020008</v>
      </c>
      <c r="D92" s="7" t="n">
        <f aca="false">MIN(100,MAX(0,D91-Annahmen!$B$17*(B92-3)-Annahmen!$B$14*(D91-50)+Annahmen!$B$27*(L92-Annahmen!$B$26)))</f>
        <v>59.9060605352582</v>
      </c>
      <c r="E92" s="7" t="n">
        <f aca="false">E91+Annahmen!$B$12*(C92*Annahmen!$B$11*(D92/100)-E91)</f>
        <v>48.3896826907185</v>
      </c>
      <c r="F92" s="7" t="n">
        <f aca="false">C92*Annahmen!$B$10*(D92/100)</f>
        <v>8.14320513579311</v>
      </c>
      <c r="G92" s="7" t="n">
        <f aca="false">E92*Annahmen!$B$9</f>
        <v>96.779365381437</v>
      </c>
      <c r="H92" s="7" t="n">
        <f aca="false">Annahmen!$B$18*Annahmen!$B$20*Annahmen!$B$19+Annahmen!$B$21+C92*Annahmen!$B$22</f>
        <v>89.7186582002001</v>
      </c>
      <c r="I92" s="7" t="n">
        <f aca="false">F92+G92-H92</f>
        <v>15.20391231703</v>
      </c>
      <c r="J92" s="7" t="n">
        <f aca="false">J91+I92</f>
        <v>-259.564873534242</v>
      </c>
      <c r="K92" s="7" t="n">
        <f aca="false">AVERAGE(B87:B91)</f>
        <v>1</v>
      </c>
      <c r="L92" s="7" t="n">
        <f aca="false">ABS(B92-K92)</f>
        <v>0</v>
      </c>
    </row>
    <row r="93" customFormat="false" ht="15" hidden="false" customHeight="false" outlineLevel="0" collapsed="false">
      <c r="A93" s="0" t="n">
        <v>92</v>
      </c>
      <c r="B93" s="6" t="n">
        <v>1</v>
      </c>
      <c r="C93" s="7" t="n">
        <f aca="false">C92*(1-Annahmen!$B$13)+Annahmen!$B$15*(1+(B93-3)/2*Annahmen!$B$16)*(1+Annahmen!$B$25*(L93-Annahmen!$B$26))</f>
        <v>272.209845419408</v>
      </c>
      <c r="D93" s="7" t="n">
        <f aca="false">MIN(100,MAX(0,D92-Annahmen!$B$17*(B93-3)-Annahmen!$B$14*(D92-50)+Annahmen!$B$27*(L93-Annahmen!$B$26)))</f>
        <v>59.9107575084953</v>
      </c>
      <c r="E93" s="7" t="n">
        <f aca="false">E92+Annahmen!$B$12*(C93*Annahmen!$B$11*(D93/100)-E92)</f>
        <v>48.4699644052669</v>
      </c>
      <c r="F93" s="7" t="n">
        <f aca="false">C93*Annahmen!$B$10*(D93/100)</f>
        <v>8.15414902017357</v>
      </c>
      <c r="G93" s="7" t="n">
        <f aca="false">E93*Annahmen!$B$9</f>
        <v>96.9399288105339</v>
      </c>
      <c r="H93" s="7" t="n">
        <f aca="false">Annahmen!$B$18*Annahmen!$B$20*Annahmen!$B$19+Annahmen!$B$21+C93*Annahmen!$B$22</f>
        <v>89.7220984541941</v>
      </c>
      <c r="I93" s="7" t="n">
        <f aca="false">F93+G93-H93</f>
        <v>15.3719793765133</v>
      </c>
      <c r="J93" s="7" t="n">
        <f aca="false">J92+I93</f>
        <v>-244.192894157729</v>
      </c>
      <c r="K93" s="7" t="n">
        <f aca="false">AVERAGE(B88:B92)</f>
        <v>1</v>
      </c>
      <c r="L93" s="7" t="n">
        <f aca="false">ABS(B93-K93)</f>
        <v>0</v>
      </c>
    </row>
    <row r="94" customFormat="false" ht="15" hidden="false" customHeight="false" outlineLevel="0" collapsed="false">
      <c r="A94" s="0" t="n">
        <v>93</v>
      </c>
      <c r="B94" s="6" t="n">
        <v>1</v>
      </c>
      <c r="C94" s="7" t="n">
        <f aca="false">C93*(1-Annahmen!$B$13)+Annahmen!$B$15*(1+(B94-3)/2*Annahmen!$B$16)*(1+Annahmen!$B$25*(L94-Annahmen!$B$26))</f>
        <v>272.543550056826</v>
      </c>
      <c r="D94" s="7" t="n">
        <f aca="false">MIN(100,MAX(0,D93-Annahmen!$B$17*(B94-3)-Annahmen!$B$14*(D93-50)+Annahmen!$B$27*(L94-Annahmen!$B$26)))</f>
        <v>59.9152196330706</v>
      </c>
      <c r="E94" s="7" t="n">
        <f aca="false">E93+Annahmen!$B$12*(C94*Annahmen!$B$11*(D94/100)-E93)</f>
        <v>48.5477477420311</v>
      </c>
      <c r="F94" s="7" t="n">
        <f aca="false">C94*Annahmen!$B$10*(D94/100)</f>
        <v>8.16475333061573</v>
      </c>
      <c r="G94" s="7" t="n">
        <f aca="false">E94*Annahmen!$B$9</f>
        <v>97.0954954840621</v>
      </c>
      <c r="H94" s="7" t="n">
        <f aca="false">Annahmen!$B$18*Annahmen!$B$20*Annahmen!$B$19+Annahmen!$B$21+C94*Annahmen!$B$22</f>
        <v>89.7254355005683</v>
      </c>
      <c r="I94" s="7" t="n">
        <f aca="false">F94+G94-H94</f>
        <v>15.5348133141096</v>
      </c>
      <c r="J94" s="7" t="n">
        <f aca="false">J93+I94</f>
        <v>-228.658080843619</v>
      </c>
      <c r="K94" s="7" t="n">
        <f aca="false">AVERAGE(B89:B93)</f>
        <v>1</v>
      </c>
      <c r="L94" s="7" t="n">
        <f aca="false">ABS(B94-K94)</f>
        <v>0</v>
      </c>
    </row>
    <row r="95" customFormat="false" ht="15" hidden="false" customHeight="false" outlineLevel="0" collapsed="false">
      <c r="A95" s="0" t="n">
        <v>94</v>
      </c>
      <c r="B95" s="6" t="n">
        <v>1</v>
      </c>
      <c r="C95" s="7" t="n">
        <f aca="false">C94*(1-Annahmen!$B$13)+Annahmen!$B$15*(1+(B95-3)/2*Annahmen!$B$16)*(1+Annahmen!$B$25*(L95-Annahmen!$B$26))</f>
        <v>272.867243555121</v>
      </c>
      <c r="D95" s="7" t="n">
        <f aca="false">MIN(100,MAX(0,D94-Annahmen!$B$17*(B95-3)-Annahmen!$B$14*(D94-50)+Annahmen!$B$27*(L95-Annahmen!$B$26)))</f>
        <v>59.919458651417</v>
      </c>
      <c r="E95" s="7" t="n">
        <f aca="false">E94+Annahmen!$B$12*(C95*Annahmen!$B$11*(D95/100)-E94)</f>
        <v>48.6231114636136</v>
      </c>
      <c r="F95" s="7" t="n">
        <f aca="false">C95*Annahmen!$B$10*(D95/100)</f>
        <v>8.1750287587636</v>
      </c>
      <c r="G95" s="7" t="n">
        <f aca="false">E95*Annahmen!$B$9</f>
        <v>97.2462229272273</v>
      </c>
      <c r="H95" s="7" t="n">
        <f aca="false">Annahmen!$B$18*Annahmen!$B$20*Annahmen!$B$19+Annahmen!$B$21+C95*Annahmen!$B$22</f>
        <v>89.7286724355512</v>
      </c>
      <c r="I95" s="7" t="n">
        <f aca="false">F95+G95-H95</f>
        <v>15.6925792504397</v>
      </c>
      <c r="J95" s="7" t="n">
        <f aca="false">J94+I95</f>
        <v>-212.965501593179</v>
      </c>
      <c r="K95" s="7" t="n">
        <f aca="false">AVERAGE(B90:B94)</f>
        <v>1</v>
      </c>
      <c r="L95" s="7" t="n">
        <f aca="false">ABS(B95-K95)</f>
        <v>0</v>
      </c>
    </row>
    <row r="96" customFormat="false" ht="15" hidden="false" customHeight="false" outlineLevel="0" collapsed="false">
      <c r="A96" s="0" t="n">
        <v>95</v>
      </c>
      <c r="B96" s="6" t="n">
        <v>1</v>
      </c>
      <c r="C96" s="7" t="n">
        <f aca="false">C95*(1-Annahmen!$B$13)+Annahmen!$B$15*(1+(B96-3)/2*Annahmen!$B$16)*(1+Annahmen!$B$25*(L96-Annahmen!$B$26))</f>
        <v>273.181226248467</v>
      </c>
      <c r="D96" s="7" t="n">
        <f aca="false">MIN(100,MAX(0,D95-Annahmen!$B$17*(B96-3)-Annahmen!$B$14*(D95-50)+Annahmen!$B$27*(L96-Annahmen!$B$26)))</f>
        <v>59.9234857188462</v>
      </c>
      <c r="E96" s="7" t="n">
        <f aca="false">E95+Annahmen!$B$12*(C96*Annahmen!$B$11*(D96/100)-E95)</f>
        <v>48.6961318334622</v>
      </c>
      <c r="F96" s="7" t="n">
        <f aca="false">C96*Annahmen!$B$10*(D96/100)</f>
        <v>8.18498565487846</v>
      </c>
      <c r="G96" s="7" t="n">
        <f aca="false">E96*Annahmen!$B$9</f>
        <v>97.3922636669244</v>
      </c>
      <c r="H96" s="7" t="n">
        <f aca="false">Annahmen!$B$18*Annahmen!$B$20*Annahmen!$B$19+Annahmen!$B$21+C96*Annahmen!$B$22</f>
        <v>89.7318122624847</v>
      </c>
      <c r="I96" s="7" t="n">
        <f aca="false">F96+G96-H96</f>
        <v>15.8454370593182</v>
      </c>
      <c r="J96" s="7" t="n">
        <f aca="false">J95+I96</f>
        <v>-197.120064533861</v>
      </c>
      <c r="K96" s="7" t="n">
        <f aca="false">AVERAGE(B91:B95)</f>
        <v>1</v>
      </c>
      <c r="L96" s="7" t="n">
        <f aca="false">ABS(B96-K96)</f>
        <v>0</v>
      </c>
    </row>
    <row r="97" customFormat="false" ht="15" hidden="false" customHeight="false" outlineLevel="0" collapsed="false">
      <c r="A97" s="0" t="n">
        <v>96</v>
      </c>
      <c r="B97" s="6" t="n">
        <v>1</v>
      </c>
      <c r="C97" s="7" t="n">
        <f aca="false">C96*(1-Annahmen!$B$13)+Annahmen!$B$15*(1+(B97-3)/2*Annahmen!$B$16)*(1+Annahmen!$B$25*(L97-Annahmen!$B$26))</f>
        <v>273.485789461013</v>
      </c>
      <c r="D97" s="7" t="n">
        <f aca="false">MIN(100,MAX(0,D96-Annahmen!$B$17*(B97-3)-Annahmen!$B$14*(D96-50)+Annahmen!$B$27*(L97-Annahmen!$B$26)))</f>
        <v>59.9273114329039</v>
      </c>
      <c r="E97" s="7" t="n">
        <f aca="false">E96+Annahmen!$B$12*(C97*Annahmen!$B$11*(D97/100)-E96)</f>
        <v>48.7668826933195</v>
      </c>
      <c r="F97" s="7" t="n">
        <f aca="false">C97*Annahmen!$B$10*(D97/100)</f>
        <v>8.19463403875186</v>
      </c>
      <c r="G97" s="7" t="n">
        <f aca="false">E97*Annahmen!$B$9</f>
        <v>97.5337653866391</v>
      </c>
      <c r="H97" s="7" t="n">
        <f aca="false">Annahmen!$B$18*Annahmen!$B$20*Annahmen!$B$19+Annahmen!$B$21+C97*Annahmen!$B$22</f>
        <v>89.7348578946101</v>
      </c>
      <c r="I97" s="7" t="n">
        <f aca="false">F97+G97-H97</f>
        <v>15.9935415307808</v>
      </c>
      <c r="J97" s="7" t="n">
        <f aca="false">J96+I97</f>
        <v>-181.12652300308</v>
      </c>
      <c r="K97" s="7" t="n">
        <f aca="false">AVERAGE(B92:B96)</f>
        <v>1</v>
      </c>
      <c r="L97" s="7" t="n">
        <f aca="false">ABS(B97-K97)</f>
        <v>0</v>
      </c>
    </row>
    <row r="98" customFormat="false" ht="15" hidden="false" customHeight="false" outlineLevel="0" collapsed="false">
      <c r="A98" s="0" t="n">
        <v>97</v>
      </c>
      <c r="B98" s="6" t="n">
        <v>1</v>
      </c>
      <c r="C98" s="7" t="n">
        <f aca="false">C97*(1-Annahmen!$B$13)+Annahmen!$B$15*(1+(B98-3)/2*Annahmen!$B$16)*(1+Annahmen!$B$25*(L98-Annahmen!$B$26))</f>
        <v>273.781215777183</v>
      </c>
      <c r="D98" s="7" t="n">
        <f aca="false">MIN(100,MAX(0,D97-Annahmen!$B$17*(B98-3)-Annahmen!$B$14*(D97-50)+Annahmen!$B$27*(L98-Annahmen!$B$26)))</f>
        <v>59.9309458612587</v>
      </c>
      <c r="E98" s="7" t="n">
        <f aca="false">E97+Annahmen!$B$12*(C98*Annahmen!$B$11*(D98/100)-E97)</f>
        <v>48.835435538579</v>
      </c>
      <c r="F98" s="7" t="n">
        <f aca="false">C98*Annahmen!$B$10*(D98/100)</f>
        <v>8.20398361028596</v>
      </c>
      <c r="G98" s="7" t="n">
        <f aca="false">E98*Annahmen!$B$9</f>
        <v>97.6708710771579</v>
      </c>
      <c r="H98" s="7" t="n">
        <f aca="false">Annahmen!$B$18*Annahmen!$B$20*Annahmen!$B$19+Annahmen!$B$21+C98*Annahmen!$B$22</f>
        <v>89.7378121577718</v>
      </c>
      <c r="I98" s="7" t="n">
        <f aca="false">F98+G98-H98</f>
        <v>16.1370425296721</v>
      </c>
      <c r="J98" s="7" t="n">
        <f aca="false">J97+I98</f>
        <v>-164.989480473408</v>
      </c>
      <c r="K98" s="7" t="n">
        <f aca="false">AVERAGE(B93:B97)</f>
        <v>1</v>
      </c>
      <c r="L98" s="7" t="n">
        <f aca="false">ABS(B98-K98)</f>
        <v>0</v>
      </c>
    </row>
    <row r="99" customFormat="false" ht="15" hidden="false" customHeight="false" outlineLevel="0" collapsed="false">
      <c r="A99" s="0" t="n">
        <v>98</v>
      </c>
      <c r="B99" s="6" t="n">
        <v>1</v>
      </c>
      <c r="C99" s="7" t="n">
        <f aca="false">C98*(1-Annahmen!$B$13)+Annahmen!$B$15*(1+(B99-3)/2*Annahmen!$B$16)*(1+Annahmen!$B$25*(L99-Annahmen!$B$26))</f>
        <v>274.067779303867</v>
      </c>
      <c r="D99" s="7" t="n">
        <f aca="false">MIN(100,MAX(0,D98-Annahmen!$B$17*(B99-3)-Annahmen!$B$14*(D98-50)+Annahmen!$B$27*(L99-Annahmen!$B$26)))</f>
        <v>59.9343985681957</v>
      </c>
      <c r="E99" s="7" t="n">
        <f aca="false">E98+Annahmen!$B$12*(C99*Annahmen!$B$11*(D99/100)-E98)</f>
        <v>48.9018595915664</v>
      </c>
      <c r="F99" s="7" t="n">
        <f aca="false">C99*Annahmen!$B$10*(D99/100)</f>
        <v>8.21304375974915</v>
      </c>
      <c r="G99" s="7" t="n">
        <f aca="false">E99*Annahmen!$B$9</f>
        <v>97.8037191831327</v>
      </c>
      <c r="H99" s="7" t="n">
        <f aca="false">Annahmen!$B$18*Annahmen!$B$20*Annahmen!$B$19+Annahmen!$B$21+C99*Annahmen!$B$22</f>
        <v>89.7406777930387</v>
      </c>
      <c r="I99" s="7" t="n">
        <f aca="false">F99+G99-H99</f>
        <v>16.2760851498432</v>
      </c>
      <c r="J99" s="7" t="n">
        <f aca="false">J98+I99</f>
        <v>-148.713395323565</v>
      </c>
      <c r="K99" s="7" t="n">
        <f aca="false">AVERAGE(B94:B98)</f>
        <v>1</v>
      </c>
      <c r="L99" s="7" t="n">
        <f aca="false">ABS(B99-K99)</f>
        <v>0</v>
      </c>
    </row>
    <row r="100" customFormat="false" ht="15" hidden="false" customHeight="false" outlineLevel="0" collapsed="false">
      <c r="A100" s="0" t="n">
        <v>99</v>
      </c>
      <c r="B100" s="6" t="n">
        <v>1</v>
      </c>
      <c r="C100" s="7" t="n">
        <f aca="false">C99*(1-Annahmen!$B$13)+Annahmen!$B$15*(1+(B100-3)/2*Annahmen!$B$16)*(1+Annahmen!$B$25*(L100-Annahmen!$B$26))</f>
        <v>274.345745924751</v>
      </c>
      <c r="D100" s="7" t="n">
        <f aca="false">MIN(100,MAX(0,D99-Annahmen!$B$17*(B100-3)-Annahmen!$B$14*(D99-50)+Annahmen!$B$27*(L100-Annahmen!$B$26)))</f>
        <v>59.937678639786</v>
      </c>
      <c r="E100" s="7" t="n">
        <f aca="false">E99+Annahmen!$B$12*(C100*Annahmen!$B$11*(D100/100)-E99)</f>
        <v>48.966221872775</v>
      </c>
      <c r="F100" s="7" t="n">
        <f aca="false">C100*Annahmen!$B$10*(D100/100)</f>
        <v>8.22182357771506</v>
      </c>
      <c r="G100" s="7" t="n">
        <f aca="false">E100*Annahmen!$B$9</f>
        <v>97.9324437455499</v>
      </c>
      <c r="H100" s="7" t="n">
        <f aca="false">Annahmen!$B$18*Annahmen!$B$20*Annahmen!$B$19+Annahmen!$B$21+C100*Annahmen!$B$22</f>
        <v>89.7434574592475</v>
      </c>
      <c r="I100" s="7" t="n">
        <f aca="false">F100+G100-H100</f>
        <v>16.4108098640175</v>
      </c>
      <c r="J100" s="7" t="n">
        <f aca="false">J99+I100</f>
        <v>-132.302585459548</v>
      </c>
      <c r="K100" s="7" t="n">
        <f aca="false">AVERAGE(B95:B99)</f>
        <v>1</v>
      </c>
      <c r="L100" s="7" t="n">
        <f aca="false">ABS(B100-K100)</f>
        <v>0</v>
      </c>
    </row>
    <row r="101" customFormat="false" ht="15" hidden="false" customHeight="false" outlineLevel="0" collapsed="false">
      <c r="A101" s="0" t="n">
        <v>100</v>
      </c>
      <c r="B101" s="6" t="n">
        <v>1</v>
      </c>
      <c r="C101" s="7" t="n">
        <f aca="false">C100*(1-Annahmen!$B$13)+Annahmen!$B$15*(1+(B101-3)/2*Annahmen!$B$16)*(1+Annahmen!$B$25*(L101-Annahmen!$B$26))</f>
        <v>274.615373547009</v>
      </c>
      <c r="D101" s="7" t="n">
        <f aca="false">MIN(100,MAX(0,D100-Annahmen!$B$17*(B101-3)-Annahmen!$B$14*(D100-50)+Annahmen!$B$27*(L101-Annahmen!$B$26)))</f>
        <v>59.9407947077967</v>
      </c>
      <c r="E101" s="7" t="n">
        <f aca="false">E100+Annahmen!$B$12*(C101*Annahmen!$B$11*(D101/100)-E100)</f>
        <v>49.0285872700825</v>
      </c>
      <c r="F101" s="7" t="n">
        <f aca="false">C101*Annahmen!$B$10*(D101/100)</f>
        <v>8.23033186469307</v>
      </c>
      <c r="G101" s="7" t="n">
        <f aca="false">E101*Annahmen!$B$9</f>
        <v>98.057174540165</v>
      </c>
      <c r="H101" s="7" t="n">
        <f aca="false">Annahmen!$B$18*Annahmen!$B$20*Annahmen!$B$19+Annahmen!$B$21+C101*Annahmen!$B$22</f>
        <v>89.7461537354701</v>
      </c>
      <c r="I101" s="7" t="n">
        <f aca="false">F101+G101-H101</f>
        <v>16.5413526693879</v>
      </c>
      <c r="J101" s="7" t="n">
        <f aca="false">J100+I101</f>
        <v>-115.76123279016</v>
      </c>
      <c r="K101" s="7" t="n">
        <f aca="false">AVERAGE(B96:B100)</f>
        <v>1</v>
      </c>
      <c r="L101" s="7" t="n">
        <f aca="false">ABS(B101-K101)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</row>
    <row r="2" customFormat="false" ht="15" hidden="false" customHeight="false" outlineLevel="0" collapsed="false">
      <c r="A2" s="0" t="n">
        <v>1</v>
      </c>
      <c r="B2" s="6" t="n">
        <f aca="false">IF(MOD(A2,2)=0,5,1)</f>
        <v>1</v>
      </c>
      <c r="C2" s="7" t="n">
        <f aca="false">Annahmen!$B$6*(1-Annahmen!$B$13)+Annahmen!$B$15*(1+(B2-3)/2*Annahmen!$B$16)*(1+Annahmen!$B$25*(L2-Annahmen!$B$26))</f>
        <v>105.5</v>
      </c>
      <c r="D2" s="7" t="n">
        <f aca="false">MIN(100,MAX(0,Annahmen!$B$7-Annahmen!$B$17*(B2-3)-Annahmen!$B$14*(Annahmen!$B$7-50)+Annahmen!$B$27*(L2-Annahmen!$B$26)))</f>
        <v>50.5</v>
      </c>
      <c r="E2" s="7" t="n">
        <f aca="false">Annahmen!$B$8+Annahmen!$B$12*(C2*Annahmen!$B$11*(D2/100)-Annahmen!$B$8)</f>
        <v>19.3974875</v>
      </c>
      <c r="F2" s="7" t="n">
        <f aca="false">C2*Annahmen!$B$10*(D2/100)</f>
        <v>2.663875</v>
      </c>
      <c r="G2" s="7" t="n">
        <f aca="false">E2*Annahmen!$B$9</f>
        <v>38.794975</v>
      </c>
      <c r="H2" s="7" t="n">
        <f aca="false">Annahmen!$B$18*Annahmen!$B$20*Annahmen!$B$19+Annahmen!$B$21+C2*Annahmen!$B$22</f>
        <v>88.055</v>
      </c>
      <c r="I2" s="7" t="n">
        <f aca="false">F2+G2-H2</f>
        <v>-46.59615</v>
      </c>
      <c r="J2" s="7" t="n">
        <f aca="false">Annahmen!$B$5+I2</f>
        <v>453.40385</v>
      </c>
      <c r="K2" s="0" t="n">
        <v>0</v>
      </c>
      <c r="L2" s="0" t="n">
        <v>0</v>
      </c>
    </row>
    <row r="3" customFormat="false" ht="15" hidden="false" customHeight="false" outlineLevel="0" collapsed="false">
      <c r="A3" s="0" t="n">
        <v>2</v>
      </c>
      <c r="B3" s="6" t="n">
        <f aca="false">IF(MOD(A3,2)=0,5,1)</f>
        <v>5</v>
      </c>
      <c r="C3" s="7" t="n">
        <f aca="false">C2*(1-Annahmen!$B$13)+Annahmen!$B$15*(1+(B3-3)/2*Annahmen!$B$16)*(1+Annahmen!$B$25*(L3-Annahmen!$B$26))</f>
        <v>159.835</v>
      </c>
      <c r="D3" s="7" t="n">
        <f aca="false">MIN(100,MAX(0,D2-Annahmen!$B$17*(B3-3)-Annahmen!$B$14*(D2-50)+Annahmen!$B$27*(L3-Annahmen!$B$26)))</f>
        <v>54.975</v>
      </c>
      <c r="E3" s="7" t="n">
        <f aca="false">E2+Annahmen!$B$12*(C3*Annahmen!$B$11*(D3/100)-E2)</f>
        <v>20.44198248125</v>
      </c>
      <c r="F3" s="7" t="n">
        <f aca="false">C3*Annahmen!$B$10*(D3/100)</f>
        <v>4.3934645625</v>
      </c>
      <c r="G3" s="7" t="n">
        <f aca="false">E3*Annahmen!$B$9</f>
        <v>40.8839649625</v>
      </c>
      <c r="H3" s="7" t="n">
        <f aca="false">Annahmen!$B$18*Annahmen!$B$20*Annahmen!$B$19+Annahmen!$B$21+C3*Annahmen!$B$22</f>
        <v>88.59835</v>
      </c>
      <c r="I3" s="7" t="n">
        <f aca="false">F3+G3-H3</f>
        <v>-43.320920475</v>
      </c>
      <c r="J3" s="7" t="n">
        <f aca="false">J2+I3</f>
        <v>410.082929525</v>
      </c>
      <c r="K3" s="7" t="n">
        <f aca="false">AVERAGE(B2:B2)</f>
        <v>1</v>
      </c>
      <c r="L3" s="7" t="n">
        <f aca="false">ABS(B3-K3)</f>
        <v>4</v>
      </c>
    </row>
    <row r="4" customFormat="false" ht="15" hidden="false" customHeight="false" outlineLevel="0" collapsed="false">
      <c r="A4" s="0" t="n">
        <v>3</v>
      </c>
      <c r="B4" s="6" t="n">
        <f aca="false">IF(MOD(A4,2)=0,5,1)</f>
        <v>1</v>
      </c>
      <c r="C4" s="7" t="n">
        <f aca="false">C3*(1-Annahmen!$B$13)+Annahmen!$B$15*(1+(B4-3)/2*Annahmen!$B$16)*(1+Annahmen!$B$25*(L4-Annahmen!$B$26))</f>
        <v>180.53995</v>
      </c>
      <c r="D4" s="7" t="n">
        <f aca="false">MIN(100,MAX(0,D3-Annahmen!$B$17*(B4-3)-Annahmen!$B$14*(D3-50)+Annahmen!$B$27*(L4-Annahmen!$B$26)))</f>
        <v>60.22625</v>
      </c>
      <c r="E4" s="7" t="n">
        <f aca="false">E3+Annahmen!$B$12*(C4*Annahmen!$B$11*(D4/100)-E3)</f>
        <v>22.2686449827219</v>
      </c>
      <c r="F4" s="7" t="n">
        <f aca="false">C4*Annahmen!$B$10*(D4/100)</f>
        <v>5.43662208184375</v>
      </c>
      <c r="G4" s="7" t="n">
        <f aca="false">E4*Annahmen!$B$9</f>
        <v>44.5372899654438</v>
      </c>
      <c r="H4" s="7" t="n">
        <f aca="false">Annahmen!$B$18*Annahmen!$B$20*Annahmen!$B$19+Annahmen!$B$21+C4*Annahmen!$B$22</f>
        <v>88.8053995</v>
      </c>
      <c r="I4" s="7" t="n">
        <f aca="false">F4+G4-H4</f>
        <v>-38.8314874527125</v>
      </c>
      <c r="J4" s="7" t="n">
        <f aca="false">J3+I4</f>
        <v>371.251442072288</v>
      </c>
      <c r="K4" s="7" t="n">
        <f aca="false">AVERAGE(B2:B3)</f>
        <v>3</v>
      </c>
      <c r="L4" s="7" t="n">
        <f aca="false">ABS(B4-K4)</f>
        <v>2</v>
      </c>
    </row>
    <row r="5" customFormat="false" ht="15" hidden="false" customHeight="false" outlineLevel="0" collapsed="false">
      <c r="A5" s="0" t="n">
        <v>4</v>
      </c>
      <c r="B5" s="6" t="n">
        <f aca="false">IF(MOD(A5,2)=0,5,1)</f>
        <v>5</v>
      </c>
      <c r="C5" s="7" t="n">
        <f aca="false">C4*(1-Annahmen!$B$13)+Annahmen!$B$15*(1+(B5-3)/2*Annahmen!$B$16)*(1+Annahmen!$B$25*(L5-Annahmen!$B$26))</f>
        <v>217.290418166667</v>
      </c>
      <c r="D5" s="7" t="n">
        <f aca="false">MIN(100,MAX(0,D4-Annahmen!$B$17*(B5-3)-Annahmen!$B$14*(D4-50)+Annahmen!$B$27*(L5-Annahmen!$B$26)))</f>
        <v>60.8816041666667</v>
      </c>
      <c r="E5" s="7" t="n">
        <f aca="false">E4+Annahmen!$B$12*(C5*Annahmen!$B$11*(D5/100)-E4)</f>
        <v>24.8813933879282</v>
      </c>
      <c r="F5" s="7" t="n">
        <f aca="false">C5*Annahmen!$B$10*(D5/100)</f>
        <v>6.61449461401624</v>
      </c>
      <c r="G5" s="7" t="n">
        <f aca="false">E5*Annahmen!$B$9</f>
        <v>49.7627867758564</v>
      </c>
      <c r="H5" s="7" t="n">
        <f aca="false">Annahmen!$B$18*Annahmen!$B$20*Annahmen!$B$19+Annahmen!$B$21+C5*Annahmen!$B$22</f>
        <v>89.1729041816667</v>
      </c>
      <c r="I5" s="7" t="n">
        <f aca="false">F5+G5-H5</f>
        <v>-32.795622791794</v>
      </c>
      <c r="J5" s="7" t="n">
        <f aca="false">J4+I5</f>
        <v>338.455819280494</v>
      </c>
      <c r="K5" s="7" t="n">
        <f aca="false">AVERAGE(B2:B4)</f>
        <v>2.33333333333333</v>
      </c>
      <c r="L5" s="7" t="n">
        <f aca="false">ABS(B5-K5)</f>
        <v>2.66666666666667</v>
      </c>
    </row>
    <row r="6" customFormat="false" ht="15" hidden="false" customHeight="false" outlineLevel="0" collapsed="false">
      <c r="A6" s="0" t="n">
        <v>5</v>
      </c>
      <c r="B6" s="6" t="n">
        <f aca="false">IF(MOD(A6,2)=0,5,1)</f>
        <v>1</v>
      </c>
      <c r="C6" s="7" t="n">
        <f aca="false">C5*(1-Annahmen!$B$13)+Annahmen!$B$15*(1+(B6-3)/2*Annahmen!$B$16)*(1+Annahmen!$B$25*(L6-Annahmen!$B$26))</f>
        <v>236.271705621667</v>
      </c>
      <c r="D6" s="7" t="n">
        <f aca="false">MIN(100,MAX(0,D5-Annahmen!$B$17*(B6-3)-Annahmen!$B$14*(D5-50)+Annahmen!$B$27*(L6-Annahmen!$B$26)))</f>
        <v>65.8375239583333</v>
      </c>
      <c r="E6" s="7" t="n">
        <f aca="false">E5+Annahmen!$B$12*(C6*Annahmen!$B$11*(D6/100)-E5)</f>
        <v>28.1491792155332</v>
      </c>
      <c r="F6" s="7" t="n">
        <f aca="false">C6*Annahmen!$B$10*(D6/100)</f>
        <v>7.77777203977138</v>
      </c>
      <c r="G6" s="7" t="n">
        <f aca="false">E6*Annahmen!$B$9</f>
        <v>56.2983584310664</v>
      </c>
      <c r="H6" s="7" t="n">
        <f aca="false">Annahmen!$B$18*Annahmen!$B$20*Annahmen!$B$19+Annahmen!$B$21+C6*Annahmen!$B$22</f>
        <v>89.3627170562167</v>
      </c>
      <c r="I6" s="7" t="n">
        <f aca="false">F6+G6-H6</f>
        <v>-25.2865865853789</v>
      </c>
      <c r="J6" s="7" t="n">
        <f aca="false">J5+I6</f>
        <v>313.169232695115</v>
      </c>
      <c r="K6" s="7" t="n">
        <f aca="false">AVERAGE(B2:B5)</f>
        <v>3</v>
      </c>
      <c r="L6" s="7" t="n">
        <f aca="false">ABS(B6-K6)</f>
        <v>2</v>
      </c>
    </row>
    <row r="7" customFormat="false" ht="15" hidden="false" customHeight="false" outlineLevel="0" collapsed="false">
      <c r="A7" s="0" t="n">
        <v>6</v>
      </c>
      <c r="B7" s="6" t="n">
        <f aca="false">IF(MOD(A7,2)=0,5,1)</f>
        <v>5</v>
      </c>
      <c r="C7" s="7" t="n">
        <f aca="false">C6*(1-Annahmen!$B$13)+Annahmen!$B$15*(1+(B7-3)/2*Annahmen!$B$16)*(1+Annahmen!$B$25*(L7-Annahmen!$B$26))</f>
        <v>268.283554453017</v>
      </c>
      <c r="D7" s="7" t="n">
        <f aca="false">MIN(100,MAX(0,D6-Annahmen!$B$17*(B7-3)-Annahmen!$B$14*(D6-50)+Annahmen!$B$27*(L7-Annahmen!$B$26)))</f>
        <v>65.5456477604167</v>
      </c>
      <c r="E7" s="7" t="n">
        <f aca="false">E6+Annahmen!$B$12*(C7*Annahmen!$B$11*(D7/100)-E6)</f>
        <v>31.8399710452437</v>
      </c>
      <c r="F7" s="7" t="n">
        <f aca="false">C7*Annahmen!$B$10*(D7/100)</f>
        <v>8.792409680045</v>
      </c>
      <c r="G7" s="7" t="n">
        <f aca="false">E7*Annahmen!$B$9</f>
        <v>63.6799420904875</v>
      </c>
      <c r="H7" s="7" t="n">
        <f aca="false">Annahmen!$B$18*Annahmen!$B$20*Annahmen!$B$19+Annahmen!$B$21+C7*Annahmen!$B$22</f>
        <v>89.6828355445302</v>
      </c>
      <c r="I7" s="7" t="n">
        <f aca="false">F7+G7-H7</f>
        <v>-17.2104837739977</v>
      </c>
      <c r="J7" s="7" t="n">
        <f aca="false">J6+I7</f>
        <v>295.958748921117</v>
      </c>
      <c r="K7" s="7" t="n">
        <f aca="false">AVERAGE(B2:B6)</f>
        <v>2.6</v>
      </c>
      <c r="L7" s="7" t="n">
        <f aca="false">ABS(B7-K7)</f>
        <v>2.4</v>
      </c>
    </row>
    <row r="8" customFormat="false" ht="15" hidden="false" customHeight="false" outlineLevel="0" collapsed="false">
      <c r="A8" s="0" t="n">
        <v>7</v>
      </c>
      <c r="B8" s="6" t="n">
        <f aca="false">IF(MOD(A8,2)=0,5,1)</f>
        <v>1</v>
      </c>
      <c r="C8" s="7" t="n">
        <f aca="false">C7*(1-Annahmen!$B$13)+Annahmen!$B$15*(1+(B8-3)/2*Annahmen!$B$16)*(1+Annahmen!$B$25*(L8-Annahmen!$B$26))</f>
        <v>289.135047819426</v>
      </c>
      <c r="D8" s="7" t="n">
        <f aca="false">MIN(100,MAX(0,D7-Annahmen!$B$17*(B8-3)-Annahmen!$B$14*(D7-50)+Annahmen!$B$27*(L8-Annahmen!$B$26)))</f>
        <v>71.2683653723958</v>
      </c>
      <c r="E8" s="7" t="n">
        <f aca="false">E7+Annahmen!$B$12*(C8*Annahmen!$B$11*(D8/100)-E7)</f>
        <v>36.3367573919392</v>
      </c>
      <c r="F8" s="7" t="n">
        <f aca="false">C8*Annahmen!$B$10*(D8/100)</f>
        <v>10.30309111498</v>
      </c>
      <c r="G8" s="7" t="n">
        <f aca="false">E8*Annahmen!$B$9</f>
        <v>72.6735147838783</v>
      </c>
      <c r="H8" s="7" t="n">
        <f aca="false">Annahmen!$B$18*Annahmen!$B$20*Annahmen!$B$19+Annahmen!$B$21+C8*Annahmen!$B$22</f>
        <v>89.8913504781943</v>
      </c>
      <c r="I8" s="7" t="n">
        <f aca="false">F8+G8-H8</f>
        <v>-6.91474457933592</v>
      </c>
      <c r="J8" s="7" t="n">
        <f aca="false">J7+I8</f>
        <v>289.044004341781</v>
      </c>
      <c r="K8" s="7" t="n">
        <f aca="false">AVERAGE(B3:B7)</f>
        <v>3.4</v>
      </c>
      <c r="L8" s="7" t="n">
        <f aca="false">ABS(B8-K8)</f>
        <v>2.4</v>
      </c>
    </row>
    <row r="9" customFormat="false" ht="15" hidden="false" customHeight="false" outlineLevel="0" collapsed="false">
      <c r="A9" s="0" t="n">
        <v>8</v>
      </c>
      <c r="B9" s="6" t="n">
        <f aca="false">IF(MOD(A9,2)=0,5,1)</f>
        <v>5</v>
      </c>
      <c r="C9" s="7" t="n">
        <f aca="false">C8*(1-Annahmen!$B$13)+Annahmen!$B$15*(1+(B9-3)/2*Annahmen!$B$16)*(1+Annahmen!$B$25*(L9-Annahmen!$B$26))</f>
        <v>319.560996384843</v>
      </c>
      <c r="D9" s="7" t="n">
        <f aca="false">MIN(100,MAX(0,D8-Annahmen!$B$17*(B9-3)-Annahmen!$B$14*(D8-50)+Annahmen!$B$27*(L9-Annahmen!$B$26)))</f>
        <v>70.704947103776</v>
      </c>
      <c r="E9" s="7" t="n">
        <f aca="false">E8+Annahmen!$B$12*(C9*Annahmen!$B$11*(D9/100)-E8)</f>
        <v>41.0537882887674</v>
      </c>
      <c r="F9" s="7" t="n">
        <f aca="false">C9*Annahmen!$B$10*(D9/100)</f>
        <v>11.2972716729102</v>
      </c>
      <c r="G9" s="7" t="n">
        <f aca="false">E9*Annahmen!$B$9</f>
        <v>82.1075765775349</v>
      </c>
      <c r="H9" s="7" t="n">
        <f aca="false">Annahmen!$B$18*Annahmen!$B$20*Annahmen!$B$19+Annahmen!$B$21+C9*Annahmen!$B$22</f>
        <v>90.1956099638484</v>
      </c>
      <c r="I9" s="7" t="n">
        <f aca="false">F9+G9-H9</f>
        <v>3.20923828659657</v>
      </c>
      <c r="J9" s="7" t="n">
        <f aca="false">J8+I9</f>
        <v>292.253242628378</v>
      </c>
      <c r="K9" s="7" t="n">
        <f aca="false">AVERAGE(B4:B8)</f>
        <v>2.6</v>
      </c>
      <c r="L9" s="7" t="n">
        <f aca="false">ABS(B9-K9)</f>
        <v>2.4</v>
      </c>
    </row>
    <row r="10" customFormat="false" ht="15" hidden="false" customHeight="false" outlineLevel="0" collapsed="false">
      <c r="A10" s="0" t="n">
        <v>9</v>
      </c>
      <c r="B10" s="6" t="n">
        <f aca="false">IF(MOD(A10,2)=0,5,1)</f>
        <v>1</v>
      </c>
      <c r="C10" s="7" t="n">
        <f aca="false">C9*(1-Annahmen!$B$13)+Annahmen!$B$15*(1+(B10-3)/2*Annahmen!$B$16)*(1+Annahmen!$B$25*(L10-Annahmen!$B$26))</f>
        <v>338.874166493298</v>
      </c>
      <c r="D10" s="7" t="n">
        <f aca="false">MIN(100,MAX(0,D9-Annahmen!$B$17*(B10-3)-Annahmen!$B$14*(D9-50)+Annahmen!$B$27*(L10-Annahmen!$B$26)))</f>
        <v>76.1696997485872</v>
      </c>
      <c r="E10" s="7" t="n">
        <f aca="false">E9+Annahmen!$B$12*(C10*Annahmen!$B$11*(D10/100)-E9)</f>
        <v>46.5110946269086</v>
      </c>
      <c r="F10" s="7" t="n">
        <f aca="false">C10*Annahmen!$B$10*(D10/100)</f>
        <v>12.9059717571736</v>
      </c>
      <c r="G10" s="7" t="n">
        <f aca="false">E10*Annahmen!$B$9</f>
        <v>93.0221892538172</v>
      </c>
      <c r="H10" s="7" t="n">
        <f aca="false">Annahmen!$B$18*Annahmen!$B$20*Annahmen!$B$19+Annahmen!$B$21+C10*Annahmen!$B$22</f>
        <v>90.388741664933</v>
      </c>
      <c r="I10" s="7" t="n">
        <f aca="false">F10+G10-H10</f>
        <v>15.5394193460578</v>
      </c>
      <c r="J10" s="7" t="n">
        <f aca="false">J9+I10</f>
        <v>307.792661974435</v>
      </c>
      <c r="K10" s="7" t="n">
        <f aca="false">AVERAGE(B5:B9)</f>
        <v>3.4</v>
      </c>
      <c r="L10" s="7" t="n">
        <f aca="false">ABS(B10-K10)</f>
        <v>2.4</v>
      </c>
    </row>
    <row r="11" customFormat="false" ht="15" hidden="false" customHeight="false" outlineLevel="0" collapsed="false">
      <c r="A11" s="0" t="n">
        <v>10</v>
      </c>
      <c r="B11" s="6" t="n">
        <f aca="false">IF(MOD(A11,2)=0,5,1)</f>
        <v>5</v>
      </c>
      <c r="C11" s="7" t="n">
        <f aca="false">C10*(1-Annahmen!$B$13)+Annahmen!$B$15*(1+(B11-3)/2*Annahmen!$B$16)*(1+Annahmen!$B$25*(L11-Annahmen!$B$26))</f>
        <v>367.807941498499</v>
      </c>
      <c r="D11" s="7" t="n">
        <f aca="false">MIN(100,MAX(0,D10-Annahmen!$B$17*(B11-3)-Annahmen!$B$14*(D10-50)+Annahmen!$B$27*(L11-Annahmen!$B$26)))</f>
        <v>75.3612147611579</v>
      </c>
      <c r="E11" s="7" t="n">
        <f aca="false">E10+Annahmen!$B$12*(C11*Annahmen!$B$11*(D11/100)-E10)</f>
        <v>52.0077344044298</v>
      </c>
      <c r="F11" s="7" t="n">
        <f aca="false">C11*Annahmen!$B$10*(D11/100)</f>
        <v>13.8592266350639</v>
      </c>
      <c r="G11" s="7" t="n">
        <f aca="false">E11*Annahmen!$B$9</f>
        <v>104.01546880886</v>
      </c>
      <c r="H11" s="7" t="n">
        <f aca="false">Annahmen!$B$18*Annahmen!$B$20*Annahmen!$B$19+Annahmen!$B$21+C11*Annahmen!$B$22</f>
        <v>90.678079414985</v>
      </c>
      <c r="I11" s="7" t="n">
        <f aca="false">F11+G11-H11</f>
        <v>27.1966160289385</v>
      </c>
      <c r="J11" s="7" t="n">
        <f aca="false">J10+I11</f>
        <v>334.989278003374</v>
      </c>
      <c r="K11" s="7" t="n">
        <f aca="false">AVERAGE(B6:B10)</f>
        <v>2.6</v>
      </c>
      <c r="L11" s="7" t="n">
        <f aca="false">ABS(B11-K11)</f>
        <v>2.4</v>
      </c>
    </row>
    <row r="12" customFormat="false" ht="15" hidden="false" customHeight="false" outlineLevel="0" collapsed="false">
      <c r="A12" s="0" t="n">
        <v>11</v>
      </c>
      <c r="B12" s="6" t="n">
        <f aca="false">IF(MOD(A12,2)=0,5,1)</f>
        <v>1</v>
      </c>
      <c r="C12" s="7" t="n">
        <f aca="false">C11*(1-Annahmen!$B$13)+Annahmen!$B$15*(1+(B12-3)/2*Annahmen!$B$16)*(1+Annahmen!$B$25*(L12-Annahmen!$B$26))</f>
        <v>385.673703253544</v>
      </c>
      <c r="D12" s="7" t="n">
        <f aca="false">MIN(100,MAX(0,D11-Annahmen!$B$17*(B12-3)-Annahmen!$B$14*(D11-50)+Annahmen!$B$27*(L12-Annahmen!$B$26)))</f>
        <v>80.5931540231</v>
      </c>
      <c r="E12" s="7" t="n">
        <f aca="false">E11+Annahmen!$B$12*(C12*Annahmen!$B$11*(D12/100)-E11)</f>
        <v>58.1937713198028</v>
      </c>
      <c r="F12" s="7" t="n">
        <f aca="false">C12*Annahmen!$B$10*(D12/100)</f>
        <v>15.5413300844861</v>
      </c>
      <c r="G12" s="7" t="n">
        <f aca="false">E12*Annahmen!$B$9</f>
        <v>116.387542639606</v>
      </c>
      <c r="H12" s="7" t="n">
        <f aca="false">Annahmen!$B$18*Annahmen!$B$20*Annahmen!$B$19+Annahmen!$B$21+C12*Annahmen!$B$22</f>
        <v>90.8567370325354</v>
      </c>
      <c r="I12" s="7" t="n">
        <f aca="false">F12+G12-H12</f>
        <v>41.0721356915563</v>
      </c>
      <c r="J12" s="7" t="n">
        <f aca="false">J11+I12</f>
        <v>376.06141369493</v>
      </c>
      <c r="K12" s="7" t="n">
        <f aca="false">AVERAGE(B7:B11)</f>
        <v>3.4</v>
      </c>
      <c r="L12" s="7" t="n">
        <f aca="false">ABS(B12-K12)</f>
        <v>2.4</v>
      </c>
    </row>
    <row r="13" customFormat="false" ht="15" hidden="false" customHeight="false" outlineLevel="0" collapsed="false">
      <c r="A13" s="0" t="n">
        <v>12</v>
      </c>
      <c r="B13" s="6" t="n">
        <f aca="false">IF(MOD(A13,2)=0,5,1)</f>
        <v>5</v>
      </c>
      <c r="C13" s="7" t="n">
        <f aca="false">C12*(1-Annahmen!$B$13)+Annahmen!$B$15*(1+(B13-3)/2*Annahmen!$B$16)*(1+Annahmen!$B$25*(L13-Annahmen!$B$26))</f>
        <v>413.203492155938</v>
      </c>
      <c r="D13" s="7" t="n">
        <f aca="false">MIN(100,MAX(0,D12-Annahmen!$B$17*(B13-3)-Annahmen!$B$14*(D12-50)+Annahmen!$B$27*(L13-Annahmen!$B$26)))</f>
        <v>79.563496321945</v>
      </c>
      <c r="E13" s="7" t="n">
        <f aca="false">E12+Annahmen!$B$12*(C13*Annahmen!$B$11*(D13/100)-E12)</f>
        <v>64.2588671595961</v>
      </c>
      <c r="F13" s="7" t="n">
        <f aca="false">C13*Annahmen!$B$10*(D13/100)</f>
        <v>16.4379572641819</v>
      </c>
      <c r="G13" s="7" t="n">
        <f aca="false">E13*Annahmen!$B$9</f>
        <v>128.517734319192</v>
      </c>
      <c r="H13" s="7" t="n">
        <f aca="false">Annahmen!$B$18*Annahmen!$B$20*Annahmen!$B$19+Annahmen!$B$21+C13*Annahmen!$B$22</f>
        <v>91.1320349215594</v>
      </c>
      <c r="I13" s="7" t="n">
        <f aca="false">F13+G13-H13</f>
        <v>53.8236566618147</v>
      </c>
      <c r="J13" s="7" t="n">
        <f aca="false">J12+I13</f>
        <v>429.885070356745</v>
      </c>
      <c r="K13" s="7" t="n">
        <f aca="false">AVERAGE(B8:B12)</f>
        <v>2.6</v>
      </c>
      <c r="L13" s="7" t="n">
        <f aca="false">ABS(B13-K13)</f>
        <v>2.4</v>
      </c>
    </row>
    <row r="14" customFormat="false" ht="15" hidden="false" customHeight="false" outlineLevel="0" collapsed="false">
      <c r="A14" s="0" t="n">
        <v>13</v>
      </c>
      <c r="B14" s="6" t="n">
        <f aca="false">IF(MOD(A14,2)=0,5,1)</f>
        <v>1</v>
      </c>
      <c r="C14" s="7" t="n">
        <f aca="false">C13*(1-Annahmen!$B$13)+Annahmen!$B$15*(1+(B14-3)/2*Annahmen!$B$16)*(1+Annahmen!$B$25*(L14-Annahmen!$B$26))</f>
        <v>429.70738739126</v>
      </c>
      <c r="D14" s="7" t="n">
        <f aca="false">MIN(100,MAX(0,D13-Annahmen!$B$17*(B14-3)-Annahmen!$B$14*(D13-50)+Annahmen!$B$27*(L14-Annahmen!$B$26)))</f>
        <v>84.5853215058477</v>
      </c>
      <c r="E14" s="7" t="n">
        <f aca="false">E13+Annahmen!$B$12*(C14*Annahmen!$B$11*(D14/100)-E13)</f>
        <v>70.9761589678241</v>
      </c>
      <c r="F14" s="7" t="n">
        <f aca="false">C14*Annahmen!$B$10*(D14/100)</f>
        <v>18.1734687579638</v>
      </c>
      <c r="G14" s="7" t="n">
        <f aca="false">E14*Annahmen!$B$9</f>
        <v>141.952317935648</v>
      </c>
      <c r="H14" s="7" t="n">
        <f aca="false">Annahmen!$B$18*Annahmen!$B$20*Annahmen!$B$19+Annahmen!$B$21+C14*Annahmen!$B$22</f>
        <v>91.2970738739126</v>
      </c>
      <c r="I14" s="7" t="n">
        <f aca="false">F14+G14-H14</f>
        <v>68.8287128196994</v>
      </c>
      <c r="J14" s="7" t="n">
        <f aca="false">J13+I14</f>
        <v>498.713783176444</v>
      </c>
      <c r="K14" s="7" t="n">
        <f aca="false">AVERAGE(B9:B13)</f>
        <v>3.4</v>
      </c>
      <c r="L14" s="7" t="n">
        <f aca="false">ABS(B14-K14)</f>
        <v>2.4</v>
      </c>
    </row>
    <row r="15" customFormat="false" ht="15" hidden="false" customHeight="false" outlineLevel="0" collapsed="false">
      <c r="A15" s="0" t="n">
        <v>14</v>
      </c>
      <c r="B15" s="6" t="n">
        <f aca="false">IF(MOD(A15,2)=0,5,1)</f>
        <v>5</v>
      </c>
      <c r="C15" s="7" t="n">
        <f aca="false">C14*(1-Annahmen!$B$13)+Annahmen!$B$15*(1+(B15-3)/2*Annahmen!$B$16)*(1+Annahmen!$B$25*(L15-Annahmen!$B$26))</f>
        <v>455.916165769522</v>
      </c>
      <c r="D15" s="7" t="n">
        <f aca="false">MIN(100,MAX(0,D14-Annahmen!$B$17*(B15-3)-Annahmen!$B$14*(D14-50)+Annahmen!$B$27*(L15-Annahmen!$B$26)))</f>
        <v>83.3560554305553</v>
      </c>
      <c r="E15" s="7" t="n">
        <f aca="false">E14+Annahmen!$B$12*(C15*Annahmen!$B$11*(D15/100)-E14)</f>
        <v>77.4312530561572</v>
      </c>
      <c r="F15" s="7" t="n">
        <f aca="false">C15*Annahmen!$B$10*(D15/100)</f>
        <v>19.0016865927853</v>
      </c>
      <c r="G15" s="7" t="n">
        <f aca="false">E15*Annahmen!$B$9</f>
        <v>154.862506112314</v>
      </c>
      <c r="H15" s="7" t="n">
        <f aca="false">Annahmen!$B$18*Annahmen!$B$20*Annahmen!$B$19+Annahmen!$B$21+C15*Annahmen!$B$22</f>
        <v>91.5591616576952</v>
      </c>
      <c r="I15" s="7" t="n">
        <f aca="false">F15+G15-H15</f>
        <v>82.3050310474045</v>
      </c>
      <c r="J15" s="7" t="n">
        <f aca="false">J14+I15</f>
        <v>581.018814223849</v>
      </c>
      <c r="K15" s="7" t="n">
        <f aca="false">AVERAGE(B10:B14)</f>
        <v>2.6</v>
      </c>
      <c r="L15" s="7" t="n">
        <f aca="false">ABS(B15-K15)</f>
        <v>2.4</v>
      </c>
    </row>
    <row r="16" customFormat="false" ht="15" hidden="false" customHeight="false" outlineLevel="0" collapsed="false">
      <c r="A16" s="0" t="n">
        <v>15</v>
      </c>
      <c r="B16" s="6" t="n">
        <f aca="false">IF(MOD(A16,2)=0,5,1)</f>
        <v>1</v>
      </c>
      <c r="C16" s="7" t="n">
        <f aca="false">C15*(1-Annahmen!$B$13)+Annahmen!$B$15*(1+(B16-3)/2*Annahmen!$B$16)*(1+Annahmen!$B$25*(L16-Annahmen!$B$26))</f>
        <v>471.138680796436</v>
      </c>
      <c r="D16" s="7" t="n">
        <f aca="false">MIN(100,MAX(0,D15-Annahmen!$B$17*(B16-3)-Annahmen!$B$14*(D15-50)+Annahmen!$B$27*(L16-Annahmen!$B$26)))</f>
        <v>88.1882526590276</v>
      </c>
      <c r="E16" s="7" t="n">
        <f aca="false">E15+Annahmen!$B$12*(C16*Annahmen!$B$11*(D16/100)-E15)</f>
        <v>84.5135687565163</v>
      </c>
      <c r="F16" s="7" t="n">
        <f aca="false">C16*Annahmen!$B$10*(D16/100)</f>
        <v>20.7744485097585</v>
      </c>
      <c r="G16" s="7" t="n">
        <f aca="false">E16*Annahmen!$B$9</f>
        <v>169.027137513033</v>
      </c>
      <c r="H16" s="7" t="n">
        <f aca="false">Annahmen!$B$18*Annahmen!$B$20*Annahmen!$B$19+Annahmen!$B$21+C16*Annahmen!$B$22</f>
        <v>91.7113868079644</v>
      </c>
      <c r="I16" s="7" t="n">
        <f aca="false">F16+G16-H16</f>
        <v>98.0901992148267</v>
      </c>
      <c r="J16" s="7" t="n">
        <f aca="false">J15+I16</f>
        <v>679.109013438676</v>
      </c>
      <c r="K16" s="7" t="n">
        <f aca="false">AVERAGE(B11:B15)</f>
        <v>3.4</v>
      </c>
      <c r="L16" s="7" t="n">
        <f aca="false">ABS(B16-K16)</f>
        <v>2.4</v>
      </c>
    </row>
    <row r="17" customFormat="false" ht="15" hidden="false" customHeight="false" outlineLevel="0" collapsed="false">
      <c r="A17" s="0" t="n">
        <v>16</v>
      </c>
      <c r="B17" s="6" t="n">
        <f aca="false">IF(MOD(A17,2)=0,5,1)</f>
        <v>5</v>
      </c>
      <c r="C17" s="7" t="n">
        <f aca="false">C16*(1-Annahmen!$B$13)+Annahmen!$B$15*(1+(B17-3)/2*Annahmen!$B$16)*(1+Annahmen!$B$25*(L17-Annahmen!$B$26))</f>
        <v>496.104520372543</v>
      </c>
      <c r="D17" s="7" t="n">
        <f aca="false">MIN(100,MAX(0,D16-Annahmen!$B$17*(B17-3)-Annahmen!$B$14*(D16-50)+Annahmen!$B$27*(L17-Annahmen!$B$26)))</f>
        <v>86.7788400260762</v>
      </c>
      <c r="E17" s="7" t="n">
        <f aca="false">E16+Annahmen!$B$12*(C17*Annahmen!$B$11*(D17/100)-E16)</f>
        <v>91.2096521073688</v>
      </c>
      <c r="F17" s="7" t="n">
        <f aca="false">C17*Annahmen!$B$10*(D17/100)</f>
        <v>21.5256874048111</v>
      </c>
      <c r="G17" s="7" t="n">
        <f aca="false">E17*Annahmen!$B$9</f>
        <v>182.419304214738</v>
      </c>
      <c r="H17" s="7" t="n">
        <f aca="false">Annahmen!$B$18*Annahmen!$B$20*Annahmen!$B$19+Annahmen!$B$21+C17*Annahmen!$B$22</f>
        <v>91.9610452037254</v>
      </c>
      <c r="I17" s="7" t="n">
        <f aca="false">F17+G17-H17</f>
        <v>111.983946415823</v>
      </c>
      <c r="J17" s="7" t="n">
        <f aca="false">J16+I17</f>
        <v>791.092959854499</v>
      </c>
      <c r="K17" s="7" t="n">
        <f aca="false">AVERAGE(B12:B16)</f>
        <v>2.6</v>
      </c>
      <c r="L17" s="7" t="n">
        <f aca="false">ABS(B17-K17)</f>
        <v>2.4</v>
      </c>
    </row>
    <row r="18" customFormat="false" ht="15" hidden="false" customHeight="false" outlineLevel="0" collapsed="false">
      <c r="A18" s="0" t="n">
        <v>17</v>
      </c>
      <c r="B18" s="6" t="n">
        <f aca="false">IF(MOD(A18,2)=0,5,1)</f>
        <v>1</v>
      </c>
      <c r="C18" s="7" t="n">
        <f aca="false">C17*(1-Annahmen!$B$13)+Annahmen!$B$15*(1+(B18-3)/2*Annahmen!$B$16)*(1+Annahmen!$B$25*(L18-Annahmen!$B$26))</f>
        <v>510.121384761367</v>
      </c>
      <c r="D18" s="7" t="n">
        <f aca="false">MIN(100,MAX(0,D17-Annahmen!$B$17*(B18-3)-Annahmen!$B$14*(D17-50)+Annahmen!$B$27*(L18-Annahmen!$B$26)))</f>
        <v>91.4398980247724</v>
      </c>
      <c r="E18" s="7" t="n">
        <f aca="false">E17+Annahmen!$B$12*(C18*Annahmen!$B$11*(D18/100)-E17)</f>
        <v>98.5186556225393</v>
      </c>
      <c r="F18" s="7" t="n">
        <f aca="false">C18*Annahmen!$B$10*(D18/100)</f>
        <v>23.3227237014175</v>
      </c>
      <c r="G18" s="7" t="n">
        <f aca="false">E18*Annahmen!$B$9</f>
        <v>197.037311245079</v>
      </c>
      <c r="H18" s="7" t="n">
        <f aca="false">Annahmen!$B$18*Annahmen!$B$20*Annahmen!$B$19+Annahmen!$B$21+C18*Annahmen!$B$22</f>
        <v>92.1012138476137</v>
      </c>
      <c r="I18" s="7" t="n">
        <f aca="false">F18+G18-H18</f>
        <v>128.258821098882</v>
      </c>
      <c r="J18" s="7" t="n">
        <f aca="false">J17+I18</f>
        <v>919.351780953381</v>
      </c>
      <c r="K18" s="7" t="n">
        <f aca="false">AVERAGE(B13:B17)</f>
        <v>3.4</v>
      </c>
      <c r="L18" s="7" t="n">
        <f aca="false">ABS(B18-K18)</f>
        <v>2.4</v>
      </c>
    </row>
    <row r="19" customFormat="false" ht="15" hidden="false" customHeight="false" outlineLevel="0" collapsed="false">
      <c r="A19" s="0" t="n">
        <v>18</v>
      </c>
      <c r="B19" s="6" t="n">
        <f aca="false">IF(MOD(A19,2)=0,5,1)</f>
        <v>5</v>
      </c>
      <c r="C19" s="7" t="n">
        <f aca="false">C18*(1-Annahmen!$B$13)+Annahmen!$B$15*(1+(B19-3)/2*Annahmen!$B$16)*(1+Annahmen!$B$25*(L19-Annahmen!$B$26))</f>
        <v>533.917743218526</v>
      </c>
      <c r="D19" s="7" t="n">
        <f aca="false">MIN(100,MAX(0,D18-Annahmen!$B$17*(B19-3)-Annahmen!$B$14*(D18-50)+Annahmen!$B$27*(L19-Annahmen!$B$26)))</f>
        <v>89.8679031235338</v>
      </c>
      <c r="E19" s="7" t="n">
        <f aca="false">E18+Annahmen!$B$12*(C19*Annahmen!$B$11*(D19/100)-E18)</f>
        <v>105.332787889733</v>
      </c>
      <c r="F19" s="7" t="n">
        <f aca="false">C19*Annahmen!$B$10*(D19/100)</f>
        <v>23.9910340117491</v>
      </c>
      <c r="G19" s="7" t="n">
        <f aca="false">E19*Annahmen!$B$9</f>
        <v>210.665575779465</v>
      </c>
      <c r="H19" s="7" t="n">
        <f aca="false">Annahmen!$B$18*Annahmen!$B$20*Annahmen!$B$19+Annahmen!$B$21+C19*Annahmen!$B$22</f>
        <v>92.3391774321853</v>
      </c>
      <c r="I19" s="7" t="n">
        <f aca="false">F19+G19-H19</f>
        <v>142.317432359029</v>
      </c>
      <c r="J19" s="7" t="n">
        <f aca="false">J18+I19</f>
        <v>1061.66921331241</v>
      </c>
      <c r="K19" s="7" t="n">
        <f aca="false">AVERAGE(B14:B18)</f>
        <v>2.6</v>
      </c>
      <c r="L19" s="7" t="n">
        <f aca="false">ABS(B19-K19)</f>
        <v>2.4</v>
      </c>
    </row>
    <row r="20" customFormat="false" ht="15" hidden="false" customHeight="false" outlineLevel="0" collapsed="false">
      <c r="A20" s="0" t="n">
        <v>19</v>
      </c>
      <c r="B20" s="6" t="n">
        <f aca="false">IF(MOD(A20,2)=0,5,1)</f>
        <v>1</v>
      </c>
      <c r="C20" s="7" t="n">
        <f aca="false">C19*(1-Annahmen!$B$13)+Annahmen!$B$15*(1+(B20-3)/2*Annahmen!$B$16)*(1+Annahmen!$B$25*(L20-Annahmen!$B$26))</f>
        <v>546.80021092197</v>
      </c>
      <c r="D20" s="7" t="n">
        <f aca="false">MIN(100,MAX(0,D19-Annahmen!$B$17*(B20-3)-Annahmen!$B$14*(D19-50)+Annahmen!$B$27*(L20-Annahmen!$B$26)))</f>
        <v>94.3745079673571</v>
      </c>
      <c r="E20" s="7" t="n">
        <f aca="false">E19+Annahmen!$B$12*(C20*Annahmen!$B$11*(D20/100)-E19)</f>
        <v>112.754670094266</v>
      </c>
      <c r="F20" s="7" t="n">
        <f aca="false">C20*Annahmen!$B$10*(D20/100)</f>
        <v>25.802000431104</v>
      </c>
      <c r="G20" s="7" t="n">
        <f aca="false">E20*Annahmen!$B$9</f>
        <v>225.509340188533</v>
      </c>
      <c r="H20" s="7" t="n">
        <f aca="false">Annahmen!$B$18*Annahmen!$B$20*Annahmen!$B$19+Annahmen!$B$21+C20*Annahmen!$B$22</f>
        <v>92.4680021092197</v>
      </c>
      <c r="I20" s="7" t="n">
        <f aca="false">F20+G20-H20</f>
        <v>158.843338510417</v>
      </c>
      <c r="J20" s="7" t="n">
        <f aca="false">J19+I20</f>
        <v>1220.51255182283</v>
      </c>
      <c r="K20" s="7" t="n">
        <f aca="false">AVERAGE(B15:B19)</f>
        <v>3.4</v>
      </c>
      <c r="L20" s="7" t="n">
        <f aca="false">ABS(B20-K20)</f>
        <v>2.4</v>
      </c>
    </row>
    <row r="21" customFormat="false" ht="15" hidden="false" customHeight="false" outlineLevel="0" collapsed="false">
      <c r="A21" s="0" t="n">
        <v>20</v>
      </c>
      <c r="B21" s="6" t="n">
        <f aca="false">IF(MOD(A21,2)=0,5,1)</f>
        <v>5</v>
      </c>
      <c r="C21" s="7" t="n">
        <f aca="false">C20*(1-Annahmen!$B$13)+Annahmen!$B$15*(1+(B21-3)/2*Annahmen!$B$16)*(1+Annahmen!$B$25*(L21-Annahmen!$B$26))</f>
        <v>569.496204594311</v>
      </c>
      <c r="D21" s="7" t="n">
        <f aca="false">MIN(100,MAX(0,D20-Annahmen!$B$17*(B21-3)-Annahmen!$B$14*(D20-50)+Annahmen!$B$27*(L21-Annahmen!$B$26)))</f>
        <v>92.6557825689892</v>
      </c>
      <c r="E21" s="7" t="n">
        <f aca="false">E20+Annahmen!$B$12*(C21*Annahmen!$B$11*(D21/100)-E20)</f>
        <v>119.586672008166</v>
      </c>
      <c r="F21" s="7" t="n">
        <f aca="false">C21*Annahmen!$B$10*(D21/100)</f>
        <v>26.3835582533775</v>
      </c>
      <c r="G21" s="7" t="n">
        <f aca="false">E21*Annahmen!$B$9</f>
        <v>239.173344016332</v>
      </c>
      <c r="H21" s="7" t="n">
        <f aca="false">Annahmen!$B$18*Annahmen!$B$20*Annahmen!$B$19+Annahmen!$B$21+C21*Annahmen!$B$22</f>
        <v>92.6949620459431</v>
      </c>
      <c r="I21" s="7" t="n">
        <f aca="false">F21+G21-H21</f>
        <v>172.861940223767</v>
      </c>
      <c r="J21" s="7" t="n">
        <f aca="false">J20+I21</f>
        <v>1393.37449204659</v>
      </c>
      <c r="K21" s="7" t="n">
        <f aca="false">AVERAGE(B16:B20)</f>
        <v>2.6</v>
      </c>
      <c r="L21" s="7" t="n">
        <f aca="false">ABS(B21-K21)</f>
        <v>2.4</v>
      </c>
    </row>
    <row r="22" customFormat="false" ht="15" hidden="false" customHeight="false" outlineLevel="0" collapsed="false">
      <c r="A22" s="0" t="n">
        <v>21</v>
      </c>
      <c r="B22" s="6" t="n">
        <f aca="false">IF(MOD(A22,2)=0,5,1)</f>
        <v>1</v>
      </c>
      <c r="C22" s="7" t="n">
        <f aca="false">C21*(1-Annahmen!$B$13)+Annahmen!$B$15*(1+(B22-3)/2*Annahmen!$B$16)*(1+Annahmen!$B$25*(L22-Annahmen!$B$26))</f>
        <v>581.311318456481</v>
      </c>
      <c r="D22" s="7" t="n">
        <f aca="false">MIN(100,MAX(0,D21-Annahmen!$B$17*(B22-3)-Annahmen!$B$14*(D21-50)+Annahmen!$B$27*(L22-Annahmen!$B$26)))</f>
        <v>97.0229934405398</v>
      </c>
      <c r="E22" s="7" t="n">
        <f aca="false">E21+Annahmen!$B$12*(C22*Annahmen!$B$11*(D22/100)-E21)</f>
        <v>127.028925113823</v>
      </c>
      <c r="F22" s="7" t="n">
        <f aca="false">C22*Annahmen!$B$10*(D22/100)</f>
        <v>28.2002821187574</v>
      </c>
      <c r="G22" s="7" t="n">
        <f aca="false">E22*Annahmen!$B$9</f>
        <v>254.057850227646</v>
      </c>
      <c r="H22" s="7" t="n">
        <f aca="false">Annahmen!$B$18*Annahmen!$B$20*Annahmen!$B$19+Annahmen!$B$21+C22*Annahmen!$B$22</f>
        <v>92.8131131845648</v>
      </c>
      <c r="I22" s="7" t="n">
        <f aca="false">F22+G22-H22</f>
        <v>189.445019161838</v>
      </c>
      <c r="J22" s="7" t="n">
        <f aca="false">J21+I22</f>
        <v>1582.81951120843</v>
      </c>
      <c r="K22" s="7" t="n">
        <f aca="false">AVERAGE(B17:B21)</f>
        <v>3.4</v>
      </c>
      <c r="L22" s="7" t="n">
        <f aca="false">ABS(B22-K22)</f>
        <v>2.4</v>
      </c>
    </row>
    <row r="23" customFormat="false" ht="15" hidden="false" customHeight="false" outlineLevel="0" collapsed="false">
      <c r="A23" s="0" t="n">
        <v>22</v>
      </c>
      <c r="B23" s="6" t="n">
        <f aca="false">IF(MOD(A23,2)=0,5,1)</f>
        <v>5</v>
      </c>
      <c r="C23" s="7" t="n">
        <f aca="false">C22*(1-Annahmen!$B$13)+Annahmen!$B$15*(1+(B23-3)/2*Annahmen!$B$16)*(1+Annahmen!$B$25*(L23-Annahmen!$B$26))</f>
        <v>602.971978902787</v>
      </c>
      <c r="D23" s="7" t="n">
        <f aca="false">MIN(100,MAX(0,D22-Annahmen!$B$17*(B23-3)-Annahmen!$B$14*(D22-50)+Annahmen!$B$27*(L23-Annahmen!$B$26)))</f>
        <v>95.1718437685128</v>
      </c>
      <c r="E23" s="7" t="n">
        <f aca="false">E22+Annahmen!$B$12*(C23*Annahmen!$B$11*(D23/100)-E22)</f>
        <v>133.798266084567</v>
      </c>
      <c r="F23" s="7" t="n">
        <f aca="false">C23*Annahmen!$B$10*(D23/100)</f>
        <v>28.6929774864635</v>
      </c>
      <c r="G23" s="7" t="n">
        <f aca="false">E23*Annahmen!$B$9</f>
        <v>267.596532169133</v>
      </c>
      <c r="H23" s="7" t="n">
        <f aca="false">Annahmen!$B$18*Annahmen!$B$20*Annahmen!$B$19+Annahmen!$B$21+C23*Annahmen!$B$22</f>
        <v>93.0297197890279</v>
      </c>
      <c r="I23" s="7" t="n">
        <f aca="false">F23+G23-H23</f>
        <v>203.259789866569</v>
      </c>
      <c r="J23" s="7" t="n">
        <f aca="false">J22+I23</f>
        <v>1786.079301075</v>
      </c>
      <c r="K23" s="7" t="n">
        <f aca="false">AVERAGE(B18:B22)</f>
        <v>2.6</v>
      </c>
      <c r="L23" s="7" t="n">
        <f aca="false">ABS(B23-K23)</f>
        <v>2.4</v>
      </c>
    </row>
    <row r="24" customFormat="false" ht="15" hidden="false" customHeight="false" outlineLevel="0" collapsed="false">
      <c r="A24" s="0" t="n">
        <v>23</v>
      </c>
      <c r="B24" s="6" t="n">
        <f aca="false">IF(MOD(A24,2)=0,5,1)</f>
        <v>1</v>
      </c>
      <c r="C24" s="7" t="n">
        <f aca="false">C23*(1-Annahmen!$B$13)+Annahmen!$B$15*(1+(B24-3)/2*Annahmen!$B$16)*(1+Annahmen!$B$25*(L24-Annahmen!$B$26))</f>
        <v>613.782819535703</v>
      </c>
      <c r="D24" s="7" t="n">
        <f aca="false">MIN(100,MAX(0,D23-Annahmen!$B$17*(B24-3)-Annahmen!$B$14*(D23-50)+Annahmen!$B$27*(L24-Annahmen!$B$26)))</f>
        <v>99.4132515800871</v>
      </c>
      <c r="E24" s="7" t="n">
        <f aca="false">E23+Annahmen!$B$12*(C24*Annahmen!$B$11*(D24/100)-E23)</f>
        <v>141.186691806199</v>
      </c>
      <c r="F24" s="7" t="n">
        <f aca="false">C24*Annahmen!$B$10*(D24/100)</f>
        <v>30.509072927019</v>
      </c>
      <c r="G24" s="7" t="n">
        <f aca="false">E24*Annahmen!$B$9</f>
        <v>282.373383612397</v>
      </c>
      <c r="H24" s="7" t="n">
        <f aca="false">Annahmen!$B$18*Annahmen!$B$20*Annahmen!$B$19+Annahmen!$B$21+C24*Annahmen!$B$22</f>
        <v>93.137828195357</v>
      </c>
      <c r="I24" s="7" t="n">
        <f aca="false">F24+G24-H24</f>
        <v>219.744628344059</v>
      </c>
      <c r="J24" s="7" t="n">
        <f aca="false">J23+I24</f>
        <v>2005.82392941906</v>
      </c>
      <c r="K24" s="7" t="n">
        <f aca="false">AVERAGE(B19:B23)</f>
        <v>3.4</v>
      </c>
      <c r="L24" s="7" t="n">
        <f aca="false">ABS(B24-K24)</f>
        <v>2.4</v>
      </c>
    </row>
    <row r="25" customFormat="false" ht="15" hidden="false" customHeight="false" outlineLevel="0" collapsed="false">
      <c r="A25" s="0" t="n">
        <v>24</v>
      </c>
      <c r="B25" s="6" t="n">
        <f aca="false">IF(MOD(A25,2)=0,5,1)</f>
        <v>5</v>
      </c>
      <c r="C25" s="7" t="n">
        <f aca="false">C24*(1-Annahmen!$B$13)+Annahmen!$B$15*(1+(B25-3)/2*Annahmen!$B$16)*(1+Annahmen!$B$25*(L25-Annahmen!$B$26))</f>
        <v>634.469334949632</v>
      </c>
      <c r="D25" s="7" t="n">
        <f aca="false">MIN(100,MAX(0,D24-Annahmen!$B$17*(B25-3)-Annahmen!$B$14*(D24-50)+Annahmen!$B$27*(L25-Annahmen!$B$26)))</f>
        <v>97.4425890010828</v>
      </c>
      <c r="E25" s="7" t="n">
        <f aca="false">E24+Annahmen!$B$12*(C25*Annahmen!$B$11*(D25/100)-E24)</f>
        <v>147.829638622948</v>
      </c>
      <c r="F25" s="7" t="n">
        <f aca="false">C25*Annahmen!$B$10*(D25/100)</f>
        <v>30.9121673196437</v>
      </c>
      <c r="G25" s="7" t="n">
        <f aca="false">E25*Annahmen!$B$9</f>
        <v>295.659277245896</v>
      </c>
      <c r="H25" s="7" t="n">
        <f aca="false">Annahmen!$B$18*Annahmen!$B$20*Annahmen!$B$19+Annahmen!$B$21+C25*Annahmen!$B$22</f>
        <v>93.3446933494963</v>
      </c>
      <c r="I25" s="7" t="n">
        <f aca="false">F25+G25-H25</f>
        <v>233.226751216044</v>
      </c>
      <c r="J25" s="7" t="n">
        <f aca="false">J24+I25</f>
        <v>2239.0506806351</v>
      </c>
      <c r="K25" s="7" t="n">
        <f aca="false">AVERAGE(B20:B24)</f>
        <v>2.6</v>
      </c>
      <c r="L25" s="7" t="n">
        <f aca="false">ABS(B25-K25)</f>
        <v>2.4</v>
      </c>
    </row>
    <row r="26" customFormat="false" ht="15" hidden="false" customHeight="false" outlineLevel="0" collapsed="false">
      <c r="A26" s="0" t="n">
        <v>25</v>
      </c>
      <c r="B26" s="6" t="n">
        <f aca="false">IF(MOD(A26,2)=0,5,1)</f>
        <v>1</v>
      </c>
      <c r="C26" s="7" t="n">
        <f aca="false">C25*(1-Annahmen!$B$13)+Annahmen!$B$15*(1+(B26-3)/2*Annahmen!$B$16)*(1+Annahmen!$B$25*(L26-Annahmen!$B$26))</f>
        <v>644.335254901143</v>
      </c>
      <c r="D26" s="7" t="n">
        <f aca="false">MIN(100,MAX(0,D25-Annahmen!$B$17*(B26-3)-Annahmen!$B$14*(D25-50)+Annahmen!$B$27*(L26-Annahmen!$B$26)))</f>
        <v>100</v>
      </c>
      <c r="E26" s="7" t="n">
        <f aca="false">E25+Annahmen!$B$12*(C26*Annahmen!$B$11*(D26/100)-E25)</f>
        <v>154.650279300057</v>
      </c>
      <c r="F26" s="7" t="n">
        <f aca="false">C26*Annahmen!$B$10*(D26/100)</f>
        <v>32.2167627450572</v>
      </c>
      <c r="G26" s="7" t="n">
        <f aca="false">E26*Annahmen!$B$9</f>
        <v>309.300558600115</v>
      </c>
      <c r="H26" s="7" t="n">
        <f aca="false">Annahmen!$B$18*Annahmen!$B$20*Annahmen!$B$19+Annahmen!$B$21+C26*Annahmen!$B$22</f>
        <v>93.4433525490114</v>
      </c>
      <c r="I26" s="7" t="n">
        <f aca="false">F26+G26-H26</f>
        <v>248.073968796161</v>
      </c>
      <c r="J26" s="7" t="n">
        <f aca="false">J25+I26</f>
        <v>2487.12464943126</v>
      </c>
      <c r="K26" s="7" t="n">
        <f aca="false">AVERAGE(B21:B25)</f>
        <v>3.4</v>
      </c>
      <c r="L26" s="7" t="n">
        <f aca="false">ABS(B26-K26)</f>
        <v>2.4</v>
      </c>
    </row>
    <row r="27" customFormat="false" ht="15" hidden="false" customHeight="false" outlineLevel="0" collapsed="false">
      <c r="A27" s="0" t="n">
        <v>26</v>
      </c>
      <c r="B27" s="6" t="n">
        <f aca="false">IF(MOD(A27,2)=0,5,1)</f>
        <v>5</v>
      </c>
      <c r="C27" s="7" t="n">
        <f aca="false">C26*(1-Annahmen!$B$13)+Annahmen!$B$15*(1+(B27-3)/2*Annahmen!$B$16)*(1+Annahmen!$B$25*(L27-Annahmen!$B$26))</f>
        <v>664.105197254109</v>
      </c>
      <c r="D27" s="7" t="n">
        <f aca="false">MIN(100,MAX(0,D26-Annahmen!$B$17*(B27-3)-Annahmen!$B$14*(D26-50)+Annahmen!$B$27*(L27-Annahmen!$B$26)))</f>
        <v>98</v>
      </c>
      <c r="E27" s="7" t="n">
        <f aca="false">E26+Annahmen!$B$12*(C27*Annahmen!$B$11*(D27/100)-E26)</f>
        <v>160.739776603955</v>
      </c>
      <c r="F27" s="7" t="n">
        <f aca="false">C27*Annahmen!$B$10*(D27/100)</f>
        <v>32.5411546654513</v>
      </c>
      <c r="G27" s="7" t="n">
        <f aca="false">E27*Annahmen!$B$9</f>
        <v>321.47955320791</v>
      </c>
      <c r="H27" s="7" t="n">
        <f aca="false">Annahmen!$B$18*Annahmen!$B$20*Annahmen!$B$19+Annahmen!$B$21+C27*Annahmen!$B$22</f>
        <v>93.6410519725411</v>
      </c>
      <c r="I27" s="7" t="n">
        <f aca="false">F27+G27-H27</f>
        <v>260.37965590082</v>
      </c>
      <c r="J27" s="7" t="n">
        <f aca="false">J26+I27</f>
        <v>2747.50430533208</v>
      </c>
      <c r="K27" s="7" t="n">
        <f aca="false">AVERAGE(B22:B26)</f>
        <v>2.6</v>
      </c>
      <c r="L27" s="7" t="n">
        <f aca="false">ABS(B27-K27)</f>
        <v>2.4</v>
      </c>
    </row>
    <row r="28" customFormat="false" ht="15" hidden="false" customHeight="false" outlineLevel="0" collapsed="false">
      <c r="A28" s="0" t="n">
        <v>27</v>
      </c>
      <c r="B28" s="6" t="n">
        <f aca="false">IF(MOD(A28,2)=0,5,1)</f>
        <v>1</v>
      </c>
      <c r="C28" s="7" t="n">
        <f aca="false">C27*(1-Annahmen!$B$13)+Annahmen!$B$15*(1+(B28-3)/2*Annahmen!$B$16)*(1+Annahmen!$B$25*(L28-Annahmen!$B$26))</f>
        <v>673.082041336486</v>
      </c>
      <c r="D28" s="7" t="n">
        <f aca="false">MIN(100,MAX(0,D27-Annahmen!$B$17*(B28-3)-Annahmen!$B$14*(D27-50)+Annahmen!$B$27*(L28-Annahmen!$B$26)))</f>
        <v>100</v>
      </c>
      <c r="E28" s="7" t="n">
        <f aca="false">E27+Annahmen!$B$12*(C28*Annahmen!$B$11*(D28/100)-E27)</f>
        <v>166.917501973504</v>
      </c>
      <c r="F28" s="7" t="n">
        <f aca="false">C28*Annahmen!$B$10*(D28/100)</f>
        <v>33.6541020668243</v>
      </c>
      <c r="G28" s="7" t="n">
        <f aca="false">E28*Annahmen!$B$9</f>
        <v>333.835003947007</v>
      </c>
      <c r="H28" s="7" t="n">
        <f aca="false">Annahmen!$B$18*Annahmen!$B$20*Annahmen!$B$19+Annahmen!$B$21+C28*Annahmen!$B$22</f>
        <v>93.7308204133649</v>
      </c>
      <c r="I28" s="7" t="n">
        <f aca="false">F28+G28-H28</f>
        <v>273.758285600467</v>
      </c>
      <c r="J28" s="7" t="n">
        <f aca="false">J27+I28</f>
        <v>3021.26259093255</v>
      </c>
      <c r="K28" s="7" t="n">
        <f aca="false">AVERAGE(B23:B27)</f>
        <v>3.4</v>
      </c>
      <c r="L28" s="7" t="n">
        <f aca="false">ABS(B28-K28)</f>
        <v>2.4</v>
      </c>
    </row>
    <row r="29" customFormat="false" ht="15" hidden="false" customHeight="false" outlineLevel="0" collapsed="false">
      <c r="A29" s="0" t="n">
        <v>28</v>
      </c>
      <c r="B29" s="6" t="n">
        <f aca="false">IF(MOD(A29,2)=0,5,1)</f>
        <v>5</v>
      </c>
      <c r="C29" s="7" t="n">
        <f aca="false">C28*(1-Annahmen!$B$13)+Annahmen!$B$15*(1+(B29-3)/2*Annahmen!$B$16)*(1+Annahmen!$B$25*(L29-Annahmen!$B$26))</f>
        <v>691.989580096391</v>
      </c>
      <c r="D29" s="7" t="n">
        <f aca="false">MIN(100,MAX(0,D28-Annahmen!$B$17*(B29-3)-Annahmen!$B$14*(D28-50)+Annahmen!$B$27*(L29-Annahmen!$B$26)))</f>
        <v>98</v>
      </c>
      <c r="E29" s="7" t="n">
        <f aca="false">E28+Annahmen!$B$12*(C29*Annahmen!$B$11*(D29/100)-E28)</f>
        <v>172.396617159729</v>
      </c>
      <c r="F29" s="7" t="n">
        <f aca="false">C29*Annahmen!$B$10*(D29/100)</f>
        <v>33.9074894247232</v>
      </c>
      <c r="G29" s="7" t="n">
        <f aca="false">E29*Annahmen!$B$9</f>
        <v>344.793234319458</v>
      </c>
      <c r="H29" s="7" t="n">
        <f aca="false">Annahmen!$B$18*Annahmen!$B$20*Annahmen!$B$19+Annahmen!$B$21+C29*Annahmen!$B$22</f>
        <v>93.9198958009639</v>
      </c>
      <c r="I29" s="7" t="n">
        <f aca="false">F29+G29-H29</f>
        <v>284.780827943217</v>
      </c>
      <c r="J29" s="7" t="n">
        <f aca="false">J28+I29</f>
        <v>3306.04341887577</v>
      </c>
      <c r="K29" s="7" t="n">
        <f aca="false">AVERAGE(B24:B28)</f>
        <v>2.6</v>
      </c>
      <c r="L29" s="7" t="n">
        <f aca="false">ABS(B29-K29)</f>
        <v>2.4</v>
      </c>
    </row>
    <row r="30" customFormat="false" ht="15" hidden="false" customHeight="false" outlineLevel="0" collapsed="false">
      <c r="A30" s="0" t="n">
        <v>29</v>
      </c>
      <c r="B30" s="6" t="n">
        <f aca="false">IF(MOD(A30,2)=0,5,1)</f>
        <v>1</v>
      </c>
      <c r="C30" s="7" t="n">
        <f aca="false">C29*(1-Annahmen!$B$13)+Annahmen!$B$15*(1+(B30-3)/2*Annahmen!$B$16)*(1+Annahmen!$B$25*(L30-Annahmen!$B$26))</f>
        <v>700.129892693499</v>
      </c>
      <c r="D30" s="7" t="n">
        <f aca="false">MIN(100,MAX(0,D29-Annahmen!$B$17*(B30-3)-Annahmen!$B$14*(D29-50)+Annahmen!$B$27*(L30-Annahmen!$B$26)))</f>
        <v>100</v>
      </c>
      <c r="E30" s="7" t="n">
        <f aca="false">E29+Annahmen!$B$12*(C30*Annahmen!$B$11*(D30/100)-E29)</f>
        <v>178.042969756977</v>
      </c>
      <c r="F30" s="7" t="n">
        <f aca="false">C30*Annahmen!$B$10*(D30/100)</f>
        <v>35.006494634675</v>
      </c>
      <c r="G30" s="7" t="n">
        <f aca="false">E30*Annahmen!$B$9</f>
        <v>356.085939513954</v>
      </c>
      <c r="H30" s="7" t="n">
        <f aca="false">Annahmen!$B$18*Annahmen!$B$20*Annahmen!$B$19+Annahmen!$B$21+C30*Annahmen!$B$22</f>
        <v>94.001298926935</v>
      </c>
      <c r="I30" s="7" t="n">
        <f aca="false">F30+G30-H30</f>
        <v>297.091135221694</v>
      </c>
      <c r="J30" s="7" t="n">
        <f aca="false">J29+I30</f>
        <v>3603.13455409746</v>
      </c>
      <c r="K30" s="7" t="n">
        <f aca="false">AVERAGE(B25:B29)</f>
        <v>3.4</v>
      </c>
      <c r="L30" s="7" t="n">
        <f aca="false">ABS(B30-K30)</f>
        <v>2.4</v>
      </c>
    </row>
    <row r="31" customFormat="false" ht="15" hidden="false" customHeight="false" outlineLevel="0" collapsed="false">
      <c r="A31" s="0" t="n">
        <v>30</v>
      </c>
      <c r="B31" s="6" t="n">
        <f aca="false">IF(MOD(A31,2)=0,5,1)</f>
        <v>5</v>
      </c>
      <c r="C31" s="7" t="n">
        <f aca="false">C30*(1-Annahmen!$B$13)+Annahmen!$B$15*(1+(B31-3)/2*Annahmen!$B$16)*(1+Annahmen!$B$25*(L31-Annahmen!$B$26))</f>
        <v>718.225995912694</v>
      </c>
      <c r="D31" s="7" t="n">
        <f aca="false">MIN(100,MAX(0,D30-Annahmen!$B$17*(B31-3)-Annahmen!$B$14*(D30-50)+Annahmen!$B$27*(L31-Annahmen!$B$26)))</f>
        <v>98</v>
      </c>
      <c r="E31" s="7" t="n">
        <f aca="false">E30+Annahmen!$B$12*(C31*Annahmen!$B$11*(D31/100)-E30)</f>
        <v>183.01029071318</v>
      </c>
      <c r="F31" s="7" t="n">
        <f aca="false">C31*Annahmen!$B$10*(D31/100)</f>
        <v>35.193073799722</v>
      </c>
      <c r="G31" s="7" t="n">
        <f aca="false">E31*Annahmen!$B$9</f>
        <v>366.020581426361</v>
      </c>
      <c r="H31" s="7" t="n">
        <f aca="false">Annahmen!$B$18*Annahmen!$B$20*Annahmen!$B$19+Annahmen!$B$21+C31*Annahmen!$B$22</f>
        <v>94.1822599591269</v>
      </c>
      <c r="I31" s="7" t="n">
        <f aca="false">F31+G31-H31</f>
        <v>307.031395266956</v>
      </c>
      <c r="J31" s="7" t="n">
        <f aca="false">J30+I31</f>
        <v>3910.16594936442</v>
      </c>
      <c r="K31" s="7" t="n">
        <f aca="false">AVERAGE(B26:B30)</f>
        <v>2.6</v>
      </c>
      <c r="L31" s="7" t="n">
        <f aca="false">ABS(B31-K31)</f>
        <v>2.4</v>
      </c>
    </row>
    <row r="32" customFormat="false" ht="15" hidden="false" customHeight="false" outlineLevel="0" collapsed="false">
      <c r="A32" s="0" t="n">
        <v>31</v>
      </c>
      <c r="B32" s="6" t="n">
        <f aca="false">IF(MOD(A32,2)=0,5,1)</f>
        <v>1</v>
      </c>
      <c r="C32" s="7" t="n">
        <f aca="false">C31*(1-Annahmen!$B$13)+Annahmen!$B$15*(1+(B32-3)/2*Annahmen!$B$16)*(1+Annahmen!$B$25*(L32-Annahmen!$B$26))</f>
        <v>725.579216035314</v>
      </c>
      <c r="D32" s="7" t="n">
        <f aca="false">MIN(100,MAX(0,D31-Annahmen!$B$17*(B32-3)-Annahmen!$B$14*(D31-50)+Annahmen!$B$27*(L32-Annahmen!$B$26)))</f>
        <v>100</v>
      </c>
      <c r="E32" s="7" t="n">
        <f aca="false">E31+Annahmen!$B$12*(C32*Annahmen!$B$11*(D32/100)-E31)</f>
        <v>188.209811827792</v>
      </c>
      <c r="F32" s="7" t="n">
        <f aca="false">C32*Annahmen!$B$10*(D32/100)</f>
        <v>36.2789608017657</v>
      </c>
      <c r="G32" s="7" t="n">
        <f aca="false">E32*Annahmen!$B$9</f>
        <v>376.419623655585</v>
      </c>
      <c r="H32" s="7" t="n">
        <f aca="false">Annahmen!$B$18*Annahmen!$B$20*Annahmen!$B$19+Annahmen!$B$21+C32*Annahmen!$B$22</f>
        <v>94.2557921603531</v>
      </c>
      <c r="I32" s="7" t="n">
        <f aca="false">F32+G32-H32</f>
        <v>318.442792296997</v>
      </c>
      <c r="J32" s="7" t="n">
        <f aca="false">J31+I32</f>
        <v>4228.60874166142</v>
      </c>
      <c r="K32" s="7" t="n">
        <f aca="false">AVERAGE(B27:B31)</f>
        <v>3.4</v>
      </c>
      <c r="L32" s="7" t="n">
        <f aca="false">ABS(B32-K32)</f>
        <v>2.4</v>
      </c>
    </row>
    <row r="33" customFormat="false" ht="15" hidden="false" customHeight="false" outlineLevel="0" collapsed="false">
      <c r="A33" s="0" t="n">
        <v>32</v>
      </c>
      <c r="B33" s="6" t="n">
        <f aca="false">IF(MOD(A33,2)=0,5,1)</f>
        <v>5</v>
      </c>
      <c r="C33" s="7" t="n">
        <f aca="false">C32*(1-Annahmen!$B$13)+Annahmen!$B$15*(1+(B33-3)/2*Annahmen!$B$16)*(1+Annahmen!$B$25*(L33-Annahmen!$B$26))</f>
        <v>742.911839554254</v>
      </c>
      <c r="D33" s="7" t="n">
        <f aca="false">MIN(100,MAX(0,D32-Annahmen!$B$17*(B33-3)-Annahmen!$B$14*(D32-50)+Annahmen!$B$27*(L33-Annahmen!$B$26)))</f>
        <v>98</v>
      </c>
      <c r="E33" s="7" t="n">
        <f aca="false">E32+Annahmen!$B$12*(C33*Annahmen!$B$11*(D33/100)-E32)</f>
        <v>192.740752177966</v>
      </c>
      <c r="F33" s="7" t="n">
        <f aca="false">C33*Annahmen!$B$10*(D33/100)</f>
        <v>36.4026801381585</v>
      </c>
      <c r="G33" s="7" t="n">
        <f aca="false">E33*Annahmen!$B$9</f>
        <v>385.481504355932</v>
      </c>
      <c r="H33" s="7" t="n">
        <f aca="false">Annahmen!$B$18*Annahmen!$B$20*Annahmen!$B$19+Annahmen!$B$21+C33*Annahmen!$B$22</f>
        <v>94.4291183955426</v>
      </c>
      <c r="I33" s="7" t="n">
        <f aca="false">F33+G33-H33</f>
        <v>327.455066098548</v>
      </c>
      <c r="J33" s="7" t="n">
        <f aca="false">J32+I33</f>
        <v>4556.06380775996</v>
      </c>
      <c r="K33" s="7" t="n">
        <f aca="false">AVERAGE(B28:B32)</f>
        <v>2.6</v>
      </c>
      <c r="L33" s="7" t="n">
        <f aca="false">ABS(B33-K33)</f>
        <v>2.4</v>
      </c>
    </row>
    <row r="34" customFormat="false" ht="15" hidden="false" customHeight="false" outlineLevel="0" collapsed="false">
      <c r="A34" s="0" t="n">
        <v>33</v>
      </c>
      <c r="B34" s="6" t="n">
        <f aca="false">IF(MOD(A34,2)=0,5,1)</f>
        <v>1</v>
      </c>
      <c r="C34" s="7" t="n">
        <f aca="false">C33*(1-Annahmen!$B$13)+Annahmen!$B$15*(1+(B34-3)/2*Annahmen!$B$16)*(1+Annahmen!$B$25*(L34-Annahmen!$B$26))</f>
        <v>749.524484367626</v>
      </c>
      <c r="D34" s="7" t="n">
        <f aca="false">MIN(100,MAX(0,D33-Annahmen!$B$17*(B34-3)-Annahmen!$B$14*(D33-50)+Annahmen!$B$27*(L34-Annahmen!$B$26)))</f>
        <v>100</v>
      </c>
      <c r="E34" s="7" t="n">
        <f aca="false">E33+Annahmen!$B$12*(C34*Annahmen!$B$11*(D34/100)-E33)</f>
        <v>197.558241147814</v>
      </c>
      <c r="F34" s="7" t="n">
        <f aca="false">C34*Annahmen!$B$10*(D34/100)</f>
        <v>37.4762242183813</v>
      </c>
      <c r="G34" s="7" t="n">
        <f aca="false">E34*Annahmen!$B$9</f>
        <v>395.116482295629</v>
      </c>
      <c r="H34" s="7" t="n">
        <f aca="false">Annahmen!$B$18*Annahmen!$B$20*Annahmen!$B$19+Annahmen!$B$21+C34*Annahmen!$B$22</f>
        <v>94.4952448436763</v>
      </c>
      <c r="I34" s="7" t="n">
        <f aca="false">F34+G34-H34</f>
        <v>338.097461670334</v>
      </c>
      <c r="J34" s="7" t="n">
        <f aca="false">J33+I34</f>
        <v>4894.1612694303</v>
      </c>
      <c r="K34" s="7" t="n">
        <f aca="false">AVERAGE(B29:B33)</f>
        <v>3.4</v>
      </c>
      <c r="L34" s="7" t="n">
        <f aca="false">ABS(B34-K34)</f>
        <v>2.4</v>
      </c>
    </row>
    <row r="35" customFormat="false" ht="15" hidden="false" customHeight="false" outlineLevel="0" collapsed="false">
      <c r="A35" s="0" t="n">
        <v>34</v>
      </c>
      <c r="B35" s="6" t="n">
        <f aca="false">IF(MOD(A35,2)=0,5,1)</f>
        <v>5</v>
      </c>
      <c r="C35" s="7" t="n">
        <f aca="false">C34*(1-Annahmen!$B$13)+Annahmen!$B$15*(1+(B35-3)/2*Annahmen!$B$16)*(1+Annahmen!$B$25*(L35-Annahmen!$B$26))</f>
        <v>766.138749836598</v>
      </c>
      <c r="D35" s="7" t="n">
        <f aca="false">MIN(100,MAX(0,D34-Annahmen!$B$17*(B35-3)-Annahmen!$B$14*(D34-50)+Annahmen!$B$27*(L35-Annahmen!$B$26)))</f>
        <v>98</v>
      </c>
      <c r="E35" s="7" t="n">
        <f aca="false">E34+Annahmen!$B$12*(C35*Annahmen!$B$11*(D35/100)-E34)</f>
        <v>201.711223843436</v>
      </c>
      <c r="F35" s="7" t="n">
        <f aca="false">C35*Annahmen!$B$10*(D35/100)</f>
        <v>37.5407987419933</v>
      </c>
      <c r="G35" s="7" t="n">
        <f aca="false">E35*Annahmen!$B$9</f>
        <v>403.422447686872</v>
      </c>
      <c r="H35" s="7" t="n">
        <f aca="false">Annahmen!$B$18*Annahmen!$B$20*Annahmen!$B$19+Annahmen!$B$21+C35*Annahmen!$B$22</f>
        <v>94.661387498366</v>
      </c>
      <c r="I35" s="7" t="n">
        <f aca="false">F35+G35-H35</f>
        <v>346.3018589305</v>
      </c>
      <c r="J35" s="7" t="n">
        <f aca="false">J34+I35</f>
        <v>5240.4631283608</v>
      </c>
      <c r="K35" s="7" t="n">
        <f aca="false">AVERAGE(B30:B34)</f>
        <v>2.6</v>
      </c>
      <c r="L35" s="7" t="n">
        <f aca="false">ABS(B35-K35)</f>
        <v>2.4</v>
      </c>
    </row>
    <row r="36" customFormat="false" ht="15" hidden="false" customHeight="false" outlineLevel="0" collapsed="false">
      <c r="A36" s="0" t="n">
        <v>35</v>
      </c>
      <c r="B36" s="6" t="n">
        <f aca="false">IF(MOD(A36,2)=0,5,1)</f>
        <v>1</v>
      </c>
      <c r="C36" s="7" t="n">
        <f aca="false">C35*(1-Annahmen!$B$13)+Annahmen!$B$15*(1+(B36-3)/2*Annahmen!$B$16)*(1+Annahmen!$B$25*(L36-Annahmen!$B$26))</f>
        <v>772.0545873415</v>
      </c>
      <c r="D36" s="7" t="n">
        <f aca="false">MIN(100,MAX(0,D35-Annahmen!$B$17*(B36-3)-Annahmen!$B$14*(D35-50)+Annahmen!$B$27*(L36-Annahmen!$B$26)))</f>
        <v>100</v>
      </c>
      <c r="E36" s="7" t="n">
        <f aca="false">E35+Annahmen!$B$12*(C36*Annahmen!$B$11*(D36/100)-E35)</f>
        <v>206.196996697288</v>
      </c>
      <c r="F36" s="7" t="n">
        <f aca="false">C36*Annahmen!$B$10*(D36/100)</f>
        <v>38.602729367075</v>
      </c>
      <c r="G36" s="7" t="n">
        <f aca="false">E36*Annahmen!$B$9</f>
        <v>412.393993394576</v>
      </c>
      <c r="H36" s="7" t="n">
        <f aca="false">Annahmen!$B$18*Annahmen!$B$20*Annahmen!$B$19+Annahmen!$B$21+C36*Annahmen!$B$22</f>
        <v>94.720545873415</v>
      </c>
      <c r="I36" s="7" t="n">
        <f aca="false">F36+G36-H36</f>
        <v>356.276176888236</v>
      </c>
      <c r="J36" s="7" t="n">
        <f aca="false">J35+I36</f>
        <v>5596.73930524903</v>
      </c>
      <c r="K36" s="7" t="n">
        <f aca="false">AVERAGE(B31:B35)</f>
        <v>3.4</v>
      </c>
      <c r="L36" s="7" t="n">
        <f aca="false">ABS(B36-K36)</f>
        <v>2.4</v>
      </c>
    </row>
    <row r="37" customFormat="false" ht="15" hidden="false" customHeight="false" outlineLevel="0" collapsed="false">
      <c r="A37" s="0" t="n">
        <v>36</v>
      </c>
      <c r="B37" s="6" t="n">
        <f aca="false">IF(MOD(A37,2)=0,5,1)</f>
        <v>5</v>
      </c>
      <c r="C37" s="7" t="n">
        <f aca="false">C36*(1-Annahmen!$B$13)+Annahmen!$B$15*(1+(B37-3)/2*Annahmen!$B$16)*(1+Annahmen!$B$25*(L37-Annahmen!$B$26))</f>
        <v>787.992949721255</v>
      </c>
      <c r="D37" s="7" t="n">
        <f aca="false">MIN(100,MAX(0,D36-Annahmen!$B$17*(B37-3)-Annahmen!$B$14*(D36-50)+Annahmen!$B$27*(L37-Annahmen!$B$26)))</f>
        <v>98</v>
      </c>
      <c r="E37" s="7" t="n">
        <f aca="false">E36+Annahmen!$B$12*(C37*Annahmen!$B$11*(D37/100)-E36)</f>
        <v>210.017936275402</v>
      </c>
      <c r="F37" s="7" t="n">
        <f aca="false">C37*Annahmen!$B$10*(D37/100)</f>
        <v>38.6116545363415</v>
      </c>
      <c r="G37" s="7" t="n">
        <f aca="false">E37*Annahmen!$B$9</f>
        <v>420.035872550805</v>
      </c>
      <c r="H37" s="7" t="n">
        <f aca="false">Annahmen!$B$18*Annahmen!$B$20*Annahmen!$B$19+Annahmen!$B$21+C37*Annahmen!$B$22</f>
        <v>94.8799294972125</v>
      </c>
      <c r="I37" s="7" t="n">
        <f aca="false">F37+G37-H37</f>
        <v>363.767597589934</v>
      </c>
      <c r="J37" s="7" t="n">
        <f aca="false">J36+I37</f>
        <v>5960.50690283897</v>
      </c>
      <c r="K37" s="7" t="n">
        <f aca="false">AVERAGE(B32:B36)</f>
        <v>2.6</v>
      </c>
      <c r="L37" s="7" t="n">
        <f aca="false">ABS(B37-K37)</f>
        <v>2.4</v>
      </c>
    </row>
    <row r="38" customFormat="false" ht="15" hidden="false" customHeight="false" outlineLevel="0" collapsed="false">
      <c r="A38" s="0" t="n">
        <v>37</v>
      </c>
      <c r="B38" s="6" t="n">
        <f aca="false">IF(MOD(A38,2)=0,5,1)</f>
        <v>1</v>
      </c>
      <c r="C38" s="7" t="n">
        <f aca="false">C37*(1-Annahmen!$B$13)+Annahmen!$B$15*(1+(B38-3)/2*Annahmen!$B$16)*(1+Annahmen!$B$25*(L38-Annahmen!$B$26))</f>
        <v>793.253161229617</v>
      </c>
      <c r="D38" s="7" t="n">
        <f aca="false">MIN(100,MAX(0,D37-Annahmen!$B$17*(B38-3)-Annahmen!$B$14*(D37-50)+Annahmen!$B$27*(L38-Annahmen!$B$26)))</f>
        <v>100</v>
      </c>
      <c r="E38" s="7" t="n">
        <f aca="false">E37+Annahmen!$B$12*(C38*Annahmen!$B$11*(D38/100)-E37)</f>
        <v>214.211638089425</v>
      </c>
      <c r="F38" s="7" t="n">
        <f aca="false">C38*Annahmen!$B$10*(D38/100)</f>
        <v>39.6626580614809</v>
      </c>
      <c r="G38" s="7" t="n">
        <f aca="false">E38*Annahmen!$B$9</f>
        <v>428.423276178849</v>
      </c>
      <c r="H38" s="7" t="n">
        <f aca="false">Annahmen!$B$18*Annahmen!$B$20*Annahmen!$B$19+Annahmen!$B$21+C38*Annahmen!$B$22</f>
        <v>94.9325316122962</v>
      </c>
      <c r="I38" s="7" t="n">
        <f aca="false">F38+G38-H38</f>
        <v>373.153402628034</v>
      </c>
      <c r="J38" s="7" t="n">
        <f aca="false">J37+I38</f>
        <v>6333.660305467</v>
      </c>
      <c r="K38" s="7" t="n">
        <f aca="false">AVERAGE(B33:B37)</f>
        <v>3.4</v>
      </c>
      <c r="L38" s="7" t="n">
        <f aca="false">ABS(B38-K38)</f>
        <v>2.4</v>
      </c>
    </row>
    <row r="39" customFormat="false" ht="15" hidden="false" customHeight="false" outlineLevel="0" collapsed="false">
      <c r="A39" s="0" t="n">
        <v>38</v>
      </c>
      <c r="B39" s="6" t="n">
        <f aca="false">IF(MOD(A39,2)=0,5,1)</f>
        <v>5</v>
      </c>
      <c r="C39" s="7" t="n">
        <f aca="false">C38*(1-Annahmen!$B$13)+Annahmen!$B$15*(1+(B39-3)/2*Annahmen!$B$16)*(1+Annahmen!$B$25*(L39-Annahmen!$B$26))</f>
        <v>808.555566392729</v>
      </c>
      <c r="D39" s="7" t="n">
        <f aca="false">MIN(100,MAX(0,D38-Annahmen!$B$17*(B39-3)-Annahmen!$B$14*(D38-50)+Annahmen!$B$27*(L39-Annahmen!$B$26)))</f>
        <v>98</v>
      </c>
      <c r="E39" s="7" t="n">
        <f aca="false">E38+Annahmen!$B$12*(C39*Annahmen!$B$11*(D39/100)-E38)</f>
        <v>217.73719285393</v>
      </c>
      <c r="F39" s="7" t="n">
        <f aca="false">C39*Annahmen!$B$10*(D39/100)</f>
        <v>39.6192227532437</v>
      </c>
      <c r="G39" s="7" t="n">
        <f aca="false">E39*Annahmen!$B$9</f>
        <v>435.474385707861</v>
      </c>
      <c r="H39" s="7" t="n">
        <f aca="false">Annahmen!$B$18*Annahmen!$B$20*Annahmen!$B$19+Annahmen!$B$21+C39*Annahmen!$B$22</f>
        <v>95.0855556639273</v>
      </c>
      <c r="I39" s="7" t="n">
        <f aca="false">F39+G39-H39</f>
        <v>380.008052797177</v>
      </c>
      <c r="J39" s="7" t="n">
        <f aca="false">J38+I39</f>
        <v>6713.66835826418</v>
      </c>
      <c r="K39" s="7" t="n">
        <f aca="false">AVERAGE(B34:B38)</f>
        <v>2.6</v>
      </c>
      <c r="L39" s="7" t="n">
        <f aca="false">ABS(B39-K39)</f>
        <v>2.4</v>
      </c>
    </row>
    <row r="40" customFormat="false" ht="15" hidden="false" customHeight="false" outlineLevel="0" collapsed="false">
      <c r="A40" s="0" t="n">
        <v>39</v>
      </c>
      <c r="B40" s="6" t="n">
        <f aca="false">IF(MOD(A40,2)=0,5,1)</f>
        <v>1</v>
      </c>
      <c r="C40" s="7" t="n">
        <f aca="false">C39*(1-Annahmen!$B$13)+Annahmen!$B$15*(1+(B40-3)/2*Annahmen!$B$16)*(1+Annahmen!$B$25*(L40-Annahmen!$B$26))</f>
        <v>813.198899400947</v>
      </c>
      <c r="D40" s="7" t="n">
        <f aca="false">MIN(100,MAX(0,D39-Annahmen!$B$17*(B40-3)-Annahmen!$B$14*(D39-50)+Annahmen!$B$27*(L40-Annahmen!$B$26)))</f>
        <v>100</v>
      </c>
      <c r="E40" s="7" t="n">
        <f aca="false">E39+Annahmen!$B$12*(C40*Annahmen!$B$11*(D40/100)-E39)</f>
        <v>221.670564398883</v>
      </c>
      <c r="F40" s="7" t="n">
        <f aca="false">C40*Annahmen!$B$10*(D40/100)</f>
        <v>40.6599449700473</v>
      </c>
      <c r="G40" s="7" t="n">
        <f aca="false">E40*Annahmen!$B$9</f>
        <v>443.341128797767</v>
      </c>
      <c r="H40" s="7" t="n">
        <f aca="false">Annahmen!$B$18*Annahmen!$B$20*Annahmen!$B$19+Annahmen!$B$21+C40*Annahmen!$B$22</f>
        <v>95.1319889940095</v>
      </c>
      <c r="I40" s="7" t="n">
        <f aca="false">F40+G40-H40</f>
        <v>388.869084773805</v>
      </c>
      <c r="J40" s="7" t="n">
        <f aca="false">J39+I40</f>
        <v>7102.53744303798</v>
      </c>
      <c r="K40" s="7" t="n">
        <f aca="false">AVERAGE(B35:B39)</f>
        <v>3.4</v>
      </c>
      <c r="L40" s="7" t="n">
        <f aca="false">ABS(B40-K40)</f>
        <v>2.4</v>
      </c>
    </row>
    <row r="41" customFormat="false" ht="15" hidden="false" customHeight="false" outlineLevel="0" collapsed="false">
      <c r="A41" s="0" t="n">
        <v>40</v>
      </c>
      <c r="B41" s="6" t="n">
        <f aca="false">IF(MOD(A41,2)=0,5,1)</f>
        <v>5</v>
      </c>
      <c r="C41" s="7" t="n">
        <f aca="false">C40*(1-Annahmen!$B$13)+Annahmen!$B$15*(1+(B41-3)/2*Annahmen!$B$16)*(1+Annahmen!$B$25*(L41-Annahmen!$B$26))</f>
        <v>827.902932418918</v>
      </c>
      <c r="D41" s="7" t="n">
        <f aca="false">MIN(100,MAX(0,D40-Annahmen!$B$17*(B41-3)-Annahmen!$B$14*(D40-50)+Annahmen!$B$27*(L41-Annahmen!$B$26)))</f>
        <v>98</v>
      </c>
      <c r="E41" s="7" t="n">
        <f aca="false">E40+Annahmen!$B$12*(C41*Annahmen!$B$11*(D41/100)-E40)</f>
        <v>224.930499058725</v>
      </c>
      <c r="F41" s="7" t="n">
        <f aca="false">C41*Annahmen!$B$10*(D41/100)</f>
        <v>40.567243688527</v>
      </c>
      <c r="G41" s="7" t="n">
        <f aca="false">E41*Annahmen!$B$9</f>
        <v>449.86099811745</v>
      </c>
      <c r="H41" s="7" t="n">
        <f aca="false">Annahmen!$B$18*Annahmen!$B$20*Annahmen!$B$19+Annahmen!$B$21+C41*Annahmen!$B$22</f>
        <v>95.2790293241892</v>
      </c>
      <c r="I41" s="7" t="n">
        <f aca="false">F41+G41-H41</f>
        <v>395.149212481788</v>
      </c>
      <c r="J41" s="7" t="n">
        <f aca="false">J40+I41</f>
        <v>7497.68665551977</v>
      </c>
      <c r="K41" s="7" t="n">
        <f aca="false">AVERAGE(B36:B40)</f>
        <v>2.6</v>
      </c>
      <c r="L41" s="7" t="n">
        <f aca="false">ABS(B41-K41)</f>
        <v>2.4</v>
      </c>
    </row>
    <row r="42" customFormat="false" ht="15" hidden="false" customHeight="false" outlineLevel="0" collapsed="false">
      <c r="A42" s="0" t="n">
        <v>41</v>
      </c>
      <c r="B42" s="6" t="n">
        <f aca="false">IF(MOD(A42,2)=0,5,1)</f>
        <v>1</v>
      </c>
      <c r="C42" s="7" t="n">
        <f aca="false">C41*(1-Annahmen!$B$13)+Annahmen!$B$15*(1+(B42-3)/2*Annahmen!$B$16)*(1+Annahmen!$B$25*(L42-Annahmen!$B$26))</f>
        <v>831.965844446351</v>
      </c>
      <c r="D42" s="7" t="n">
        <f aca="false">MIN(100,MAX(0,D41-Annahmen!$B$17*(B42-3)-Annahmen!$B$14*(D41-50)+Annahmen!$B$27*(L42-Annahmen!$B$26)))</f>
        <v>100</v>
      </c>
      <c r="E42" s="7" t="n">
        <f aca="false">E41+Annahmen!$B$12*(C42*Annahmen!$B$11*(D42/100)-E41)</f>
        <v>228.629387200002</v>
      </c>
      <c r="F42" s="7" t="n">
        <f aca="false">C42*Annahmen!$B$10*(D42/100)</f>
        <v>41.5982922223175</v>
      </c>
      <c r="G42" s="7" t="n">
        <f aca="false">E42*Annahmen!$B$9</f>
        <v>457.258774400004</v>
      </c>
      <c r="H42" s="7" t="n">
        <f aca="false">Annahmen!$B$18*Annahmen!$B$20*Annahmen!$B$19+Annahmen!$B$21+C42*Annahmen!$B$22</f>
        <v>95.3196584444635</v>
      </c>
      <c r="I42" s="7" t="n">
        <f aca="false">F42+G42-H42</f>
        <v>403.537408177858</v>
      </c>
      <c r="J42" s="7" t="n">
        <f aca="false">J41+I42</f>
        <v>7901.22406369763</v>
      </c>
      <c r="K42" s="7" t="n">
        <f aca="false">AVERAGE(B37:B41)</f>
        <v>3.4</v>
      </c>
      <c r="L42" s="7" t="n">
        <f aca="false">ABS(B42-K42)</f>
        <v>2.4</v>
      </c>
    </row>
    <row r="43" customFormat="false" ht="15" hidden="false" customHeight="false" outlineLevel="0" collapsed="false">
      <c r="A43" s="0" t="n">
        <v>42</v>
      </c>
      <c r="B43" s="6" t="n">
        <f aca="false">IF(MOD(A43,2)=0,5,1)</f>
        <v>5</v>
      </c>
      <c r="C43" s="7" t="n">
        <f aca="false">C42*(1-Annahmen!$B$13)+Annahmen!$B$15*(1+(B43-3)/2*Annahmen!$B$16)*(1+Annahmen!$B$25*(L43-Annahmen!$B$26))</f>
        <v>846.10686911296</v>
      </c>
      <c r="D43" s="7" t="n">
        <f aca="false">MIN(100,MAX(0,D42-Annahmen!$B$17*(B43-3)-Annahmen!$B$14*(D42-50)+Annahmen!$B$27*(L43-Annahmen!$B$26)))</f>
        <v>98</v>
      </c>
      <c r="E43" s="7" t="n">
        <f aca="false">E42+Annahmen!$B$12*(C43*Annahmen!$B$11*(D43/100)-E42)</f>
        <v>231.648292047883</v>
      </c>
      <c r="F43" s="7" t="n">
        <f aca="false">C43*Annahmen!$B$10*(D43/100)</f>
        <v>41.4592365865351</v>
      </c>
      <c r="G43" s="7" t="n">
        <f aca="false">E43*Annahmen!$B$9</f>
        <v>463.296584095767</v>
      </c>
      <c r="H43" s="7" t="n">
        <f aca="false">Annahmen!$B$18*Annahmen!$B$20*Annahmen!$B$19+Annahmen!$B$21+C43*Annahmen!$B$22</f>
        <v>95.4610686911296</v>
      </c>
      <c r="I43" s="7" t="n">
        <f aca="false">F43+G43-H43</f>
        <v>409.294751991172</v>
      </c>
      <c r="J43" s="7" t="n">
        <f aca="false">J42+I43</f>
        <v>8310.5188156888</v>
      </c>
      <c r="K43" s="7" t="n">
        <f aca="false">AVERAGE(B38:B42)</f>
        <v>2.6</v>
      </c>
      <c r="L43" s="7" t="n">
        <f aca="false">ABS(B43-K43)</f>
        <v>2.4</v>
      </c>
    </row>
    <row r="44" customFormat="false" ht="15" hidden="false" customHeight="false" outlineLevel="0" collapsed="false">
      <c r="A44" s="0" t="n">
        <v>43</v>
      </c>
      <c r="B44" s="6" t="n">
        <f aca="false">IF(MOD(A44,2)=0,5,1)</f>
        <v>1</v>
      </c>
      <c r="C44" s="7" t="n">
        <f aca="false">C43*(1-Annahmen!$B$13)+Annahmen!$B$15*(1+(B44-3)/2*Annahmen!$B$16)*(1+Annahmen!$B$25*(L44-Annahmen!$B$26))</f>
        <v>849.623663039571</v>
      </c>
      <c r="D44" s="7" t="n">
        <f aca="false">MIN(100,MAX(0,D43-Annahmen!$B$17*(B44-3)-Annahmen!$B$14*(D43-50)+Annahmen!$B$27*(L44-Annahmen!$B$26)))</f>
        <v>100</v>
      </c>
      <c r="E44" s="7" t="n">
        <f aca="false">E43+Annahmen!$B$12*(C44*Annahmen!$B$11*(D44/100)-E43)</f>
        <v>235.134113077482</v>
      </c>
      <c r="F44" s="7" t="n">
        <f aca="false">C44*Annahmen!$B$10*(D44/100)</f>
        <v>42.4811831519786</v>
      </c>
      <c r="G44" s="7" t="n">
        <f aca="false">E44*Annahmen!$B$9</f>
        <v>470.268226154963</v>
      </c>
      <c r="H44" s="7" t="n">
        <f aca="false">Annahmen!$B$18*Annahmen!$B$20*Annahmen!$B$19+Annahmen!$B$21+C44*Annahmen!$B$22</f>
        <v>95.4962366303957</v>
      </c>
      <c r="I44" s="7" t="n">
        <f aca="false">F44+G44-H44</f>
        <v>417.253172676546</v>
      </c>
      <c r="J44" s="7" t="n">
        <f aca="false">J43+I44</f>
        <v>8727.77198836535</v>
      </c>
      <c r="K44" s="7" t="n">
        <f aca="false">AVERAGE(B39:B43)</f>
        <v>3.4</v>
      </c>
      <c r="L44" s="7" t="n">
        <f aca="false">ABS(B44-K44)</f>
        <v>2.4</v>
      </c>
    </row>
    <row r="45" customFormat="false" ht="15" hidden="false" customHeight="false" outlineLevel="0" collapsed="false">
      <c r="A45" s="0" t="n">
        <v>44</v>
      </c>
      <c r="B45" s="6" t="n">
        <f aca="false">IF(MOD(A45,2)=0,5,1)</f>
        <v>5</v>
      </c>
      <c r="C45" s="7" t="n">
        <f aca="false">C44*(1-Annahmen!$B$13)+Annahmen!$B$15*(1+(B45-3)/2*Annahmen!$B$16)*(1+Annahmen!$B$25*(L45-Annahmen!$B$26))</f>
        <v>863.234953148384</v>
      </c>
      <c r="D45" s="7" t="n">
        <f aca="false">MIN(100,MAX(0,D44-Annahmen!$B$17*(B45-3)-Annahmen!$B$14*(D44-50)+Annahmen!$B$27*(L45-Annahmen!$B$26)))</f>
        <v>98</v>
      </c>
      <c r="E45" s="7" t="n">
        <f aca="false">E44+Annahmen!$B$12*(C45*Annahmen!$B$11*(D45/100)-E44)</f>
        <v>237.932657549703</v>
      </c>
      <c r="F45" s="7" t="n">
        <f aca="false">C45*Annahmen!$B$10*(D45/100)</f>
        <v>42.2985127042708</v>
      </c>
      <c r="G45" s="7" t="n">
        <f aca="false">E45*Annahmen!$B$9</f>
        <v>475.865315099406</v>
      </c>
      <c r="H45" s="7" t="n">
        <f aca="false">Annahmen!$B$18*Annahmen!$B$20*Annahmen!$B$19+Annahmen!$B$21+C45*Annahmen!$B$22</f>
        <v>95.6323495314838</v>
      </c>
      <c r="I45" s="7" t="n">
        <f aca="false">F45+G45-H45</f>
        <v>422.531478272193</v>
      </c>
      <c r="J45" s="7" t="n">
        <f aca="false">J44+I45</f>
        <v>9150.30346663754</v>
      </c>
      <c r="K45" s="7" t="n">
        <f aca="false">AVERAGE(B40:B44)</f>
        <v>2.6</v>
      </c>
      <c r="L45" s="7" t="n">
        <f aca="false">ABS(B45-K45)</f>
        <v>2.4</v>
      </c>
    </row>
    <row r="46" customFormat="false" ht="15" hidden="false" customHeight="false" outlineLevel="0" collapsed="false">
      <c r="A46" s="0" t="n">
        <v>45</v>
      </c>
      <c r="B46" s="6" t="n">
        <f aca="false">IF(MOD(A46,2)=0,5,1)</f>
        <v>1</v>
      </c>
      <c r="C46" s="7" t="n">
        <f aca="false">C45*(1-Annahmen!$B$13)+Annahmen!$B$15*(1+(B46-3)/2*Annahmen!$B$16)*(1+Annahmen!$B$25*(L46-Annahmen!$B$26))</f>
        <v>866.237904553933</v>
      </c>
      <c r="D46" s="7" t="n">
        <f aca="false">MIN(100,MAX(0,D45-Annahmen!$B$17*(B46-3)-Annahmen!$B$14*(D45-50)+Annahmen!$B$27*(L46-Annahmen!$B$26)))</f>
        <v>100</v>
      </c>
      <c r="E46" s="7" t="n">
        <f aca="false">E45+Annahmen!$B$12*(C46*Annahmen!$B$11*(D46/100)-E45)</f>
        <v>241.223464622175</v>
      </c>
      <c r="F46" s="7" t="n">
        <f aca="false">C46*Annahmen!$B$10*(D46/100)</f>
        <v>43.3118952276966</v>
      </c>
      <c r="G46" s="7" t="n">
        <f aca="false">E46*Annahmen!$B$9</f>
        <v>482.446929244349</v>
      </c>
      <c r="H46" s="7" t="n">
        <f aca="false">Annahmen!$B$18*Annahmen!$B$20*Annahmen!$B$19+Annahmen!$B$21+C46*Annahmen!$B$22</f>
        <v>95.6623790455393</v>
      </c>
      <c r="I46" s="7" t="n">
        <f aca="false">F46+G46-H46</f>
        <v>430.096445426506</v>
      </c>
      <c r="J46" s="7" t="n">
        <f aca="false">J45+I46</f>
        <v>9580.39991206405</v>
      </c>
      <c r="K46" s="7" t="n">
        <f aca="false">AVERAGE(B41:B45)</f>
        <v>3.4</v>
      </c>
      <c r="L46" s="7" t="n">
        <f aca="false">ABS(B46-K46)</f>
        <v>2.4</v>
      </c>
    </row>
    <row r="47" customFormat="false" ht="15" hidden="false" customHeight="false" outlineLevel="0" collapsed="false">
      <c r="A47" s="0" t="n">
        <v>46</v>
      </c>
      <c r="B47" s="6" t="n">
        <f aca="false">IF(MOD(A47,2)=0,5,1)</f>
        <v>5</v>
      </c>
      <c r="C47" s="7" t="n">
        <f aca="false">C46*(1-Annahmen!$B$13)+Annahmen!$B$15*(1+(B47-3)/2*Annahmen!$B$16)*(1+Annahmen!$B$25*(L47-Annahmen!$B$26))</f>
        <v>879.350767417315</v>
      </c>
      <c r="D47" s="7" t="n">
        <f aca="false">MIN(100,MAX(0,D46-Annahmen!$B$17*(B47-3)-Annahmen!$B$14*(D46-50)+Annahmen!$B$27*(L47-Annahmen!$B$26)))</f>
        <v>98</v>
      </c>
      <c r="E47" s="7" t="n">
        <f aca="false">E46+Annahmen!$B$12*(C47*Annahmen!$B$11*(D47/100)-E46)</f>
        <v>243.819313771952</v>
      </c>
      <c r="F47" s="7" t="n">
        <f aca="false">C47*Annahmen!$B$10*(D47/100)</f>
        <v>43.0881876034484</v>
      </c>
      <c r="G47" s="7" t="n">
        <f aca="false">E47*Annahmen!$B$9</f>
        <v>487.638627543904</v>
      </c>
      <c r="H47" s="7" t="n">
        <f aca="false">Annahmen!$B$18*Annahmen!$B$20*Annahmen!$B$19+Annahmen!$B$21+C47*Annahmen!$B$22</f>
        <v>95.7935076741731</v>
      </c>
      <c r="I47" s="7" t="n">
        <f aca="false">F47+G47-H47</f>
        <v>434.933307473179</v>
      </c>
      <c r="J47" s="7" t="n">
        <f aca="false">J46+I47</f>
        <v>10015.3332195372</v>
      </c>
      <c r="K47" s="7" t="n">
        <f aca="false">AVERAGE(B42:B46)</f>
        <v>2.6</v>
      </c>
      <c r="L47" s="7" t="n">
        <f aca="false">ABS(B47-K47)</f>
        <v>2.4</v>
      </c>
    </row>
    <row r="48" customFormat="false" ht="15" hidden="false" customHeight="false" outlineLevel="0" collapsed="false">
      <c r="A48" s="0" t="n">
        <v>47</v>
      </c>
      <c r="B48" s="6" t="n">
        <f aca="false">IF(MOD(A48,2)=0,5,1)</f>
        <v>1</v>
      </c>
      <c r="C48" s="7" t="n">
        <f aca="false">C47*(1-Annahmen!$B$13)+Annahmen!$B$15*(1+(B48-3)/2*Annahmen!$B$16)*(1+Annahmen!$B$25*(L48-Annahmen!$B$26))</f>
        <v>881.870244394795</v>
      </c>
      <c r="D48" s="7" t="n">
        <f aca="false">MIN(100,MAX(0,D47-Annahmen!$B$17*(B48-3)-Annahmen!$B$14*(D47-50)+Annahmen!$B$27*(L48-Annahmen!$B$26)))</f>
        <v>100</v>
      </c>
      <c r="E48" s="7" t="n">
        <f aca="false">E47+Annahmen!$B$12*(C48*Annahmen!$B$11*(D48/100)-E47)</f>
        <v>246.930577703925</v>
      </c>
      <c r="F48" s="7" t="n">
        <f aca="false">C48*Annahmen!$B$10*(D48/100)</f>
        <v>44.0935122197398</v>
      </c>
      <c r="G48" s="7" t="n">
        <f aca="false">E48*Annahmen!$B$9</f>
        <v>493.86115540785</v>
      </c>
      <c r="H48" s="7" t="n">
        <f aca="false">Annahmen!$B$18*Annahmen!$B$20*Annahmen!$B$19+Annahmen!$B$21+C48*Annahmen!$B$22</f>
        <v>95.818702443948</v>
      </c>
      <c r="I48" s="7" t="n">
        <f aca="false">F48+G48-H48</f>
        <v>442.135965183642</v>
      </c>
      <c r="J48" s="7" t="n">
        <f aca="false">J47+I48</f>
        <v>10457.4691847209</v>
      </c>
      <c r="K48" s="7" t="n">
        <f aca="false">AVERAGE(B43:B47)</f>
        <v>3.4</v>
      </c>
      <c r="L48" s="7" t="n">
        <f aca="false">ABS(B48-K48)</f>
        <v>2.4</v>
      </c>
    </row>
    <row r="49" customFormat="false" ht="15" hidden="false" customHeight="false" outlineLevel="0" collapsed="false">
      <c r="A49" s="0" t="n">
        <v>48</v>
      </c>
      <c r="B49" s="6" t="n">
        <f aca="false">IF(MOD(A49,2)=0,5,1)</f>
        <v>5</v>
      </c>
      <c r="C49" s="7" t="n">
        <f aca="false">C48*(1-Annahmen!$B$13)+Annahmen!$B$15*(1+(B49-3)/2*Annahmen!$B$16)*(1+Annahmen!$B$25*(L49-Annahmen!$B$26))</f>
        <v>894.514137062951</v>
      </c>
      <c r="D49" s="7" t="n">
        <f aca="false">MIN(100,MAX(0,D48-Annahmen!$B$17*(B49-3)-Annahmen!$B$14*(D48-50)+Annahmen!$B$27*(L49-Annahmen!$B$26)))</f>
        <v>98</v>
      </c>
      <c r="E49" s="7" t="n">
        <f aca="false">E48+Annahmen!$B$12*(C49*Annahmen!$B$11*(D49/100)-E48)</f>
        <v>249.339064492812</v>
      </c>
      <c r="F49" s="7" t="n">
        <f aca="false">C49*Annahmen!$B$10*(D49/100)</f>
        <v>43.8311927160846</v>
      </c>
      <c r="G49" s="7" t="n">
        <f aca="false">E49*Annahmen!$B$9</f>
        <v>498.678128985625</v>
      </c>
      <c r="H49" s="7" t="n">
        <f aca="false">Annahmen!$B$18*Annahmen!$B$20*Annahmen!$B$19+Annahmen!$B$21+C49*Annahmen!$B$22</f>
        <v>95.9451413706295</v>
      </c>
      <c r="I49" s="7" t="n">
        <f aca="false">F49+G49-H49</f>
        <v>446.56418033108</v>
      </c>
      <c r="J49" s="7" t="n">
        <f aca="false">J48+I49</f>
        <v>10904.0333650519</v>
      </c>
      <c r="K49" s="7" t="n">
        <f aca="false">AVERAGE(B44:B48)</f>
        <v>2.6</v>
      </c>
      <c r="L49" s="7" t="n">
        <f aca="false">ABS(B49-K49)</f>
        <v>2.4</v>
      </c>
    </row>
    <row r="50" customFormat="false" ht="15" hidden="false" customHeight="false" outlineLevel="0" collapsed="false">
      <c r="A50" s="0" t="n">
        <v>49</v>
      </c>
      <c r="B50" s="6" t="n">
        <f aca="false">IF(MOD(A50,2)=0,5,1)</f>
        <v>1</v>
      </c>
      <c r="C50" s="7" t="n">
        <f aca="false">C49*(1-Annahmen!$B$13)+Annahmen!$B$15*(1+(B50-3)/2*Annahmen!$B$16)*(1+Annahmen!$B$25*(L50-Annahmen!$B$26))</f>
        <v>896.578712951063</v>
      </c>
      <c r="D50" s="7" t="n">
        <f aca="false">MIN(100,MAX(0,D49-Annahmen!$B$17*(B50-3)-Annahmen!$B$14*(D49-50)+Annahmen!$B$27*(L50-Annahmen!$B$26)))</f>
        <v>100</v>
      </c>
      <c r="E50" s="7" t="n">
        <f aca="false">E49+Annahmen!$B$12*(C50*Annahmen!$B$11*(D50/100)-E49)</f>
        <v>252.284246901688</v>
      </c>
      <c r="F50" s="7" t="n">
        <f aca="false">C50*Annahmen!$B$10*(D50/100)</f>
        <v>44.8289356475531</v>
      </c>
      <c r="G50" s="7" t="n">
        <f aca="false">E50*Annahmen!$B$9</f>
        <v>504.568493803377</v>
      </c>
      <c r="H50" s="7" t="n">
        <f aca="false">Annahmen!$B$18*Annahmen!$B$20*Annahmen!$B$19+Annahmen!$B$21+C50*Annahmen!$B$22</f>
        <v>95.9657871295106</v>
      </c>
      <c r="I50" s="7" t="n">
        <f aca="false">F50+G50-H50</f>
        <v>453.431642321419</v>
      </c>
      <c r="J50" s="7" t="n">
        <f aca="false">J49+I50</f>
        <v>11357.4650073734</v>
      </c>
      <c r="K50" s="7" t="n">
        <f aca="false">AVERAGE(B45:B49)</f>
        <v>3.4</v>
      </c>
      <c r="L50" s="7" t="n">
        <f aca="false">ABS(B50-K50)</f>
        <v>2.4</v>
      </c>
    </row>
    <row r="51" customFormat="false" ht="15" hidden="false" customHeight="false" outlineLevel="0" collapsed="false">
      <c r="A51" s="0" t="n">
        <v>50</v>
      </c>
      <c r="B51" s="6" t="n">
        <f aca="false">IF(MOD(A51,2)=0,5,1)</f>
        <v>5</v>
      </c>
      <c r="C51" s="7" t="n">
        <f aca="false">C50*(1-Annahmen!$B$13)+Annahmen!$B$15*(1+(B51-3)/2*Annahmen!$B$16)*(1+Annahmen!$B$25*(L51-Annahmen!$B$26))</f>
        <v>908.781351562531</v>
      </c>
      <c r="D51" s="7" t="n">
        <f aca="false">MIN(100,MAX(0,D50-Annahmen!$B$17*(B51-3)-Annahmen!$B$14*(D50-50)+Annahmen!$B$27*(L51-Annahmen!$B$26)))</f>
        <v>98</v>
      </c>
      <c r="E51" s="7" t="n">
        <f aca="false">E50+Annahmen!$B$12*(C51*Annahmen!$B$11*(D51/100)-E50)</f>
        <v>254.518867470343</v>
      </c>
      <c r="F51" s="7" t="n">
        <f aca="false">C51*Annahmen!$B$10*(D51/100)</f>
        <v>44.530286226564</v>
      </c>
      <c r="G51" s="7" t="n">
        <f aca="false">E51*Annahmen!$B$9</f>
        <v>509.037734940685</v>
      </c>
      <c r="H51" s="7" t="n">
        <f aca="false">Annahmen!$B$18*Annahmen!$B$20*Annahmen!$B$19+Annahmen!$B$21+C51*Annahmen!$B$22</f>
        <v>96.0878135156253</v>
      </c>
      <c r="I51" s="7" t="n">
        <f aca="false">F51+G51-H51</f>
        <v>457.480207651624</v>
      </c>
      <c r="J51" s="7" t="n">
        <f aca="false">J50+I51</f>
        <v>11814.945215025</v>
      </c>
      <c r="K51" s="7" t="n">
        <f aca="false">AVERAGE(B46:B50)</f>
        <v>2.6</v>
      </c>
      <c r="L51" s="7" t="n">
        <f aca="false">ABS(B51-K51)</f>
        <v>2.4</v>
      </c>
    </row>
    <row r="52" customFormat="false" ht="15" hidden="false" customHeight="false" outlineLevel="0" collapsed="false">
      <c r="A52" s="0" t="n">
        <v>51</v>
      </c>
      <c r="B52" s="6" t="n">
        <f aca="false">IF(MOD(A52,2)=0,5,1)</f>
        <v>1</v>
      </c>
      <c r="C52" s="7" t="n">
        <f aca="false">C51*(1-Annahmen!$B$13)+Annahmen!$B$15*(1+(B52-3)/2*Annahmen!$B$16)*(1+Annahmen!$B$25*(L52-Annahmen!$B$26))</f>
        <v>910.417911015655</v>
      </c>
      <c r="D52" s="7" t="n">
        <f aca="false">MIN(100,MAX(0,D51-Annahmen!$B$17*(B52-3)-Annahmen!$B$14*(D51-50)+Annahmen!$B$27*(L52-Annahmen!$B$26)))</f>
        <v>100</v>
      </c>
      <c r="E52" s="7" t="n">
        <f aca="false">E51+Annahmen!$B$12*(C52*Annahmen!$B$11*(D52/100)-E51)</f>
        <v>257.309843345496</v>
      </c>
      <c r="F52" s="7" t="n">
        <f aca="false">C52*Annahmen!$B$10*(D52/100)</f>
        <v>45.5208955507828</v>
      </c>
      <c r="G52" s="7" t="n">
        <f aca="false">E52*Annahmen!$B$9</f>
        <v>514.619686690991</v>
      </c>
      <c r="H52" s="7" t="n">
        <f aca="false">Annahmen!$B$18*Annahmen!$B$20*Annahmen!$B$19+Annahmen!$B$21+C52*Annahmen!$B$22</f>
        <v>96.1041791101566</v>
      </c>
      <c r="I52" s="7" t="n">
        <f aca="false">F52+G52-H52</f>
        <v>464.036403131618</v>
      </c>
      <c r="J52" s="7" t="n">
        <f aca="false">J51+I52</f>
        <v>12278.9816181566</v>
      </c>
      <c r="K52" s="7" t="n">
        <f aca="false">AVERAGE(B47:B51)</f>
        <v>3.4</v>
      </c>
      <c r="L52" s="7" t="n">
        <f aca="false">ABS(B52-K52)</f>
        <v>2.4</v>
      </c>
    </row>
    <row r="53" customFormat="false" ht="15" hidden="false" customHeight="false" outlineLevel="0" collapsed="false">
      <c r="A53" s="0" t="n">
        <v>52</v>
      </c>
      <c r="B53" s="6" t="n">
        <f aca="false">IF(MOD(A53,2)=0,5,1)</f>
        <v>5</v>
      </c>
      <c r="C53" s="7" t="n">
        <f aca="false">C52*(1-Annahmen!$B$13)+Annahmen!$B$15*(1+(B53-3)/2*Annahmen!$B$16)*(1+Annahmen!$B$25*(L53-Annahmen!$B$26))</f>
        <v>922.205373685185</v>
      </c>
      <c r="D53" s="7" t="n">
        <f aca="false">MIN(100,MAX(0,D52-Annahmen!$B$17*(B53-3)-Annahmen!$B$14*(D52-50)+Annahmen!$B$27*(L53-Annahmen!$B$26)))</f>
        <v>98</v>
      </c>
      <c r="E53" s="7" t="n">
        <f aca="false">E52+Annahmen!$B$12*(C53*Annahmen!$B$11*(D53/100)-E52)</f>
        <v>259.382623823188</v>
      </c>
      <c r="F53" s="7" t="n">
        <f aca="false">C53*Annahmen!$B$10*(D53/100)</f>
        <v>45.1880633105741</v>
      </c>
      <c r="G53" s="7" t="n">
        <f aca="false">E53*Annahmen!$B$9</f>
        <v>518.765247646376</v>
      </c>
      <c r="H53" s="7" t="n">
        <f aca="false">Annahmen!$B$18*Annahmen!$B$20*Annahmen!$B$19+Annahmen!$B$21+C53*Annahmen!$B$22</f>
        <v>96.2220537368519</v>
      </c>
      <c r="I53" s="7" t="n">
        <f aca="false">F53+G53-H53</f>
        <v>467.731257220098</v>
      </c>
      <c r="J53" s="7" t="n">
        <f aca="false">J52+I53</f>
        <v>12746.7128753767</v>
      </c>
      <c r="K53" s="7" t="n">
        <f aca="false">AVERAGE(B48:B52)</f>
        <v>2.6</v>
      </c>
      <c r="L53" s="7" t="n">
        <f aca="false">ABS(B53-K53)</f>
        <v>2.4</v>
      </c>
    </row>
    <row r="54" customFormat="false" ht="15" hidden="false" customHeight="false" outlineLevel="0" collapsed="false">
      <c r="A54" s="0" t="n">
        <v>53</v>
      </c>
      <c r="B54" s="6" t="n">
        <f aca="false">IF(MOD(A54,2)=0,5,1)</f>
        <v>1</v>
      </c>
      <c r="C54" s="7" t="n">
        <f aca="false">C53*(1-Annahmen!$B$13)+Annahmen!$B$15*(1+(B54-3)/2*Annahmen!$B$16)*(1+Annahmen!$B$25*(L54-Annahmen!$B$26))</f>
        <v>923.43921247463</v>
      </c>
      <c r="D54" s="7" t="n">
        <f aca="false">MIN(100,MAX(0,D53-Annahmen!$B$17*(B54-3)-Annahmen!$B$14*(D53-50)+Annahmen!$B$27*(L54-Annahmen!$B$26)))</f>
        <v>100</v>
      </c>
      <c r="E54" s="7" t="n">
        <f aca="false">E53+Annahmen!$B$12*(C54*Annahmen!$B$11*(D54/100)-E53)</f>
        <v>262.029994811068</v>
      </c>
      <c r="F54" s="7" t="n">
        <f aca="false">C54*Annahmen!$B$10*(D54/100)</f>
        <v>46.1719606237315</v>
      </c>
      <c r="G54" s="7" t="n">
        <f aca="false">E54*Annahmen!$B$9</f>
        <v>524.059989622136</v>
      </c>
      <c r="H54" s="7" t="n">
        <f aca="false">Annahmen!$B$18*Annahmen!$B$20*Annahmen!$B$19+Annahmen!$B$21+C54*Annahmen!$B$22</f>
        <v>96.2343921247463</v>
      </c>
      <c r="I54" s="7" t="n">
        <f aca="false">F54+G54-H54</f>
        <v>473.997558121122</v>
      </c>
      <c r="J54" s="7" t="n">
        <f aca="false">J53+I54</f>
        <v>13220.7104334978</v>
      </c>
      <c r="K54" s="7" t="n">
        <f aca="false">AVERAGE(B49:B53)</f>
        <v>3.4</v>
      </c>
      <c r="L54" s="7" t="n">
        <f aca="false">ABS(B54-K54)</f>
        <v>2.4</v>
      </c>
    </row>
    <row r="55" customFormat="false" ht="15" hidden="false" customHeight="false" outlineLevel="0" collapsed="false">
      <c r="A55" s="0" t="n">
        <v>54</v>
      </c>
      <c r="B55" s="6" t="n">
        <f aca="false">IF(MOD(A55,2)=0,5,1)</f>
        <v>5</v>
      </c>
      <c r="C55" s="7" t="n">
        <f aca="false">C54*(1-Annahmen!$B$13)+Annahmen!$B$15*(1+(B55-3)/2*Annahmen!$B$16)*(1+Annahmen!$B$25*(L55-Annahmen!$B$26))</f>
        <v>934.836036100391</v>
      </c>
      <c r="D55" s="7" t="n">
        <f aca="false">MIN(100,MAX(0,D54-Annahmen!$B$17*(B55-3)-Annahmen!$B$14*(D54-50)+Annahmen!$B$27*(L55-Annahmen!$B$26)))</f>
        <v>98</v>
      </c>
      <c r="E55" s="7" t="n">
        <f aca="false">E54+Annahmen!$B$12*(C55*Annahmen!$B$11*(D55/100)-E54)</f>
        <v>263.951764781435</v>
      </c>
      <c r="F55" s="7" t="n">
        <f aca="false">C55*Annahmen!$B$10*(D55/100)</f>
        <v>45.8069657689192</v>
      </c>
      <c r="G55" s="7" t="n">
        <f aca="false">E55*Annahmen!$B$9</f>
        <v>527.90352956287</v>
      </c>
      <c r="H55" s="7" t="n">
        <f aca="false">Annahmen!$B$18*Annahmen!$B$20*Annahmen!$B$19+Annahmen!$B$21+C55*Annahmen!$B$22</f>
        <v>96.3483603610039</v>
      </c>
      <c r="I55" s="7" t="n">
        <f aca="false">F55+G55-H55</f>
        <v>477.362134970785</v>
      </c>
      <c r="J55" s="7" t="n">
        <f aca="false">J54+I55</f>
        <v>13698.0725684686</v>
      </c>
      <c r="K55" s="7" t="n">
        <f aca="false">AVERAGE(B50:B54)</f>
        <v>2.6</v>
      </c>
      <c r="L55" s="7" t="n">
        <f aca="false">ABS(B55-K55)</f>
        <v>2.4</v>
      </c>
    </row>
    <row r="56" customFormat="false" ht="15" hidden="false" customHeight="false" outlineLevel="0" collapsed="false">
      <c r="A56" s="0" t="n">
        <v>55</v>
      </c>
      <c r="B56" s="6" t="n">
        <f aca="false">IF(MOD(A56,2)=0,5,1)</f>
        <v>1</v>
      </c>
      <c r="C56" s="7" t="n">
        <f aca="false">C55*(1-Annahmen!$B$13)+Annahmen!$B$15*(1+(B56-3)/2*Annahmen!$B$16)*(1+Annahmen!$B$25*(L56-Annahmen!$B$26))</f>
        <v>935.690955017379</v>
      </c>
      <c r="D56" s="7" t="n">
        <f aca="false">MIN(100,MAX(0,D55-Annahmen!$B$17*(B56-3)-Annahmen!$B$14*(D55-50)+Annahmen!$B$27*(L56-Annahmen!$B$26)))</f>
        <v>100</v>
      </c>
      <c r="E56" s="7" t="n">
        <f aca="false">E55+Annahmen!$B$12*(C56*Annahmen!$B$11*(D56/100)-E55)</f>
        <v>266.465093040002</v>
      </c>
      <c r="F56" s="7" t="n">
        <f aca="false">C56*Annahmen!$B$10*(D56/100)</f>
        <v>46.784547750869</v>
      </c>
      <c r="G56" s="7" t="n">
        <f aca="false">E56*Annahmen!$B$9</f>
        <v>532.930186080004</v>
      </c>
      <c r="H56" s="7" t="n">
        <f aca="false">Annahmen!$B$18*Annahmen!$B$20*Annahmen!$B$19+Annahmen!$B$21+C56*Annahmen!$B$22</f>
        <v>96.3569095501738</v>
      </c>
      <c r="I56" s="7" t="n">
        <f aca="false">F56+G56-H56</f>
        <v>483.357824280699</v>
      </c>
      <c r="J56" s="7" t="n">
        <f aca="false">J55+I56</f>
        <v>14181.4303927493</v>
      </c>
      <c r="K56" s="7" t="n">
        <f aca="false">AVERAGE(B51:B55)</f>
        <v>3.4</v>
      </c>
      <c r="L56" s="7" t="n">
        <f aca="false">ABS(B56-K56)</f>
        <v>2.4</v>
      </c>
    </row>
    <row r="57" customFormat="false" ht="15" hidden="false" customHeight="false" outlineLevel="0" collapsed="false">
      <c r="A57" s="0" t="n">
        <v>56</v>
      </c>
      <c r="B57" s="6" t="n">
        <f aca="false">IF(MOD(A57,2)=0,5,1)</f>
        <v>5</v>
      </c>
      <c r="C57" s="7" t="n">
        <f aca="false">C56*(1-Annahmen!$B$13)+Annahmen!$B$15*(1+(B57-3)/2*Annahmen!$B$16)*(1+Annahmen!$B$25*(L57-Annahmen!$B$26))</f>
        <v>946.720226366858</v>
      </c>
      <c r="D57" s="7" t="n">
        <f aca="false">MIN(100,MAX(0,D56-Annahmen!$B$17*(B57-3)-Annahmen!$B$14*(D56-50)+Annahmen!$B$27*(L57-Annahmen!$B$26)))</f>
        <v>98</v>
      </c>
      <c r="E57" s="7" t="n">
        <f aca="false">E56+Annahmen!$B$12*(C57*Annahmen!$B$11*(D57/100)-E56)</f>
        <v>268.24569106678</v>
      </c>
      <c r="F57" s="7" t="n">
        <f aca="false">C57*Annahmen!$B$10*(D57/100)</f>
        <v>46.389291091976</v>
      </c>
      <c r="G57" s="7" t="n">
        <f aca="false">E57*Annahmen!$B$9</f>
        <v>536.49138213356</v>
      </c>
      <c r="H57" s="7" t="n">
        <f aca="false">Annahmen!$B$18*Annahmen!$B$20*Annahmen!$B$19+Annahmen!$B$21+C57*Annahmen!$B$22</f>
        <v>96.4672022636686</v>
      </c>
      <c r="I57" s="7" t="n">
        <f aca="false">F57+G57-H57</f>
        <v>486.413470961868</v>
      </c>
      <c r="J57" s="7" t="n">
        <f aca="false">J56+I57</f>
        <v>14667.8438637112</v>
      </c>
      <c r="K57" s="7" t="n">
        <f aca="false">AVERAGE(B52:B56)</f>
        <v>2.6</v>
      </c>
      <c r="L57" s="7" t="n">
        <f aca="false">ABS(B57-K57)</f>
        <v>2.4</v>
      </c>
    </row>
    <row r="58" customFormat="false" ht="15" hidden="false" customHeight="false" outlineLevel="0" collapsed="false">
      <c r="A58" s="0" t="n">
        <v>57</v>
      </c>
      <c r="B58" s="6" t="n">
        <f aca="false">IF(MOD(A58,2)=0,5,1)</f>
        <v>1</v>
      </c>
      <c r="C58" s="7" t="n">
        <f aca="false">C57*(1-Annahmen!$B$13)+Annahmen!$B$15*(1+(B58-3)/2*Annahmen!$B$16)*(1+Annahmen!$B$25*(L58-Annahmen!$B$26))</f>
        <v>947.218619575852</v>
      </c>
      <c r="D58" s="7" t="n">
        <f aca="false">MIN(100,MAX(0,D57-Annahmen!$B$17*(B58-3)-Annahmen!$B$14*(D57-50)+Annahmen!$B$27*(L58-Annahmen!$B$26)))</f>
        <v>100</v>
      </c>
      <c r="E58" s="7" t="n">
        <f aca="false">E57+Annahmen!$B$12*(C58*Annahmen!$B$11*(D58/100)-E57)</f>
        <v>270.633675287676</v>
      </c>
      <c r="F58" s="7" t="n">
        <f aca="false">C58*Annahmen!$B$10*(D58/100)</f>
        <v>47.3609309787926</v>
      </c>
      <c r="G58" s="7" t="n">
        <f aca="false">E58*Annahmen!$B$9</f>
        <v>541.267350575353</v>
      </c>
      <c r="H58" s="7" t="n">
        <f aca="false">Annahmen!$B$18*Annahmen!$B$20*Annahmen!$B$19+Annahmen!$B$21+C58*Annahmen!$B$22</f>
        <v>96.4721861957585</v>
      </c>
      <c r="I58" s="7" t="n">
        <f aca="false">F58+G58-H58</f>
        <v>492.156095358387</v>
      </c>
      <c r="J58" s="7" t="n">
        <f aca="false">J57+I58</f>
        <v>15159.9999590696</v>
      </c>
      <c r="K58" s="7" t="n">
        <f aca="false">AVERAGE(B53:B57)</f>
        <v>3.4</v>
      </c>
      <c r="L58" s="7" t="n">
        <f aca="false">ABS(B58-K58)</f>
        <v>2.4</v>
      </c>
    </row>
    <row r="59" customFormat="false" ht="15" hidden="false" customHeight="false" outlineLevel="0" collapsed="false">
      <c r="A59" s="0" t="n">
        <v>58</v>
      </c>
      <c r="B59" s="6" t="n">
        <f aca="false">IF(MOD(A59,2)=0,5,1)</f>
        <v>5</v>
      </c>
      <c r="C59" s="7" t="n">
        <f aca="false">C58*(1-Annahmen!$B$13)+Annahmen!$B$15*(1+(B59-3)/2*Annahmen!$B$16)*(1+Annahmen!$B$25*(L59-Annahmen!$B$26))</f>
        <v>957.902060988576</v>
      </c>
      <c r="D59" s="7" t="n">
        <f aca="false">MIN(100,MAX(0,D58-Annahmen!$B$17*(B59-3)-Annahmen!$B$14*(D58-50)+Annahmen!$B$27*(L59-Annahmen!$B$26)))</f>
        <v>98</v>
      </c>
      <c r="E59" s="7" t="n">
        <f aca="false">E58+Annahmen!$B$12*(C59*Annahmen!$B$11*(D59/100)-E58)</f>
        <v>272.282104884121</v>
      </c>
      <c r="F59" s="7" t="n">
        <f aca="false">C59*Annahmen!$B$10*(D59/100)</f>
        <v>46.9372009884402</v>
      </c>
      <c r="G59" s="7" t="n">
        <f aca="false">E59*Annahmen!$B$9</f>
        <v>544.564209768242</v>
      </c>
      <c r="H59" s="7" t="n">
        <f aca="false">Annahmen!$B$18*Annahmen!$B$20*Annahmen!$B$19+Annahmen!$B$21+C59*Annahmen!$B$22</f>
        <v>96.5790206098858</v>
      </c>
      <c r="I59" s="7" t="n">
        <f aca="false">F59+G59-H59</f>
        <v>494.922390146797</v>
      </c>
      <c r="J59" s="7" t="n">
        <f aca="false">J58+I59</f>
        <v>15654.9223492164</v>
      </c>
      <c r="K59" s="7" t="n">
        <f aca="false">AVERAGE(B54:B58)</f>
        <v>2.6</v>
      </c>
      <c r="L59" s="7" t="n">
        <f aca="false">ABS(B59-K59)</f>
        <v>2.4</v>
      </c>
    </row>
    <row r="60" customFormat="false" ht="15" hidden="false" customHeight="false" outlineLevel="0" collapsed="false">
      <c r="A60" s="0" t="n">
        <v>59</v>
      </c>
      <c r="B60" s="6" t="n">
        <f aca="false">IF(MOD(A60,2)=0,5,1)</f>
        <v>1</v>
      </c>
      <c r="C60" s="7" t="n">
        <f aca="false">C59*(1-Annahmen!$B$13)+Annahmen!$B$15*(1+(B60-3)/2*Annahmen!$B$16)*(1+Annahmen!$B$25*(L60-Annahmen!$B$26))</f>
        <v>958.064999158919</v>
      </c>
      <c r="D60" s="7" t="n">
        <f aca="false">MIN(100,MAX(0,D59-Annahmen!$B$17*(B60-3)-Annahmen!$B$14*(D59-50)+Annahmen!$B$27*(L60-Annahmen!$B$26)))</f>
        <v>100</v>
      </c>
      <c r="E60" s="7" t="n">
        <f aca="false">E59+Annahmen!$B$12*(C60*Annahmen!$B$11*(D60/100)-E59)</f>
        <v>274.552714113654</v>
      </c>
      <c r="F60" s="7" t="n">
        <f aca="false">C60*Annahmen!$B$10*(D60/100)</f>
        <v>47.9032499579459</v>
      </c>
      <c r="G60" s="7" t="n">
        <f aca="false">E60*Annahmen!$B$9</f>
        <v>549.105428227309</v>
      </c>
      <c r="H60" s="7" t="n">
        <f aca="false">Annahmen!$B$18*Annahmen!$B$20*Annahmen!$B$19+Annahmen!$B$21+C60*Annahmen!$B$22</f>
        <v>96.5806499915892</v>
      </c>
      <c r="I60" s="7" t="n">
        <f aca="false">F60+G60-H60</f>
        <v>500.428028193665</v>
      </c>
      <c r="J60" s="7" t="n">
        <f aca="false">J59+I60</f>
        <v>16155.35037741</v>
      </c>
      <c r="K60" s="7" t="n">
        <f aca="false">AVERAGE(B55:B59)</f>
        <v>3.4</v>
      </c>
      <c r="L60" s="7" t="n">
        <f aca="false">ABS(B60-K60)</f>
        <v>2.4</v>
      </c>
    </row>
    <row r="61" customFormat="false" ht="15" hidden="false" customHeight="false" outlineLevel="0" collapsed="false">
      <c r="A61" s="0" t="n">
        <v>60</v>
      </c>
      <c r="B61" s="6" t="n">
        <f aca="false">IF(MOD(A61,2)=0,5,1)</f>
        <v>5</v>
      </c>
      <c r="C61" s="7" t="n">
        <f aca="false">C60*(1-Annahmen!$B$13)+Annahmen!$B$15*(1+(B61-3)/2*Annahmen!$B$16)*(1+Annahmen!$B$25*(L61-Annahmen!$B$26))</f>
        <v>968.423049184151</v>
      </c>
      <c r="D61" s="7" t="n">
        <f aca="false">MIN(100,MAX(0,D60-Annahmen!$B$17*(B61-3)-Annahmen!$B$14*(D60-50)+Annahmen!$B$27*(L61-Annahmen!$B$26)))</f>
        <v>98</v>
      </c>
      <c r="E61" s="7" t="n">
        <f aca="false">E60+Annahmen!$B$12*(C61*Annahmen!$B$11*(D61/100)-E60)</f>
        <v>276.077263465627</v>
      </c>
      <c r="F61" s="7" t="n">
        <f aca="false">C61*Annahmen!$B$10*(D61/100)</f>
        <v>47.4527294100234</v>
      </c>
      <c r="G61" s="7" t="n">
        <f aca="false">E61*Annahmen!$B$9</f>
        <v>552.154526931255</v>
      </c>
      <c r="H61" s="7" t="n">
        <f aca="false">Annahmen!$B$18*Annahmen!$B$20*Annahmen!$B$19+Annahmen!$B$21+C61*Annahmen!$B$22</f>
        <v>96.6842304918415</v>
      </c>
      <c r="I61" s="7" t="n">
        <f aca="false">F61+G61-H61</f>
        <v>502.923025849437</v>
      </c>
      <c r="J61" s="7" t="n">
        <f aca="false">J60+I61</f>
        <v>16658.2734032595</v>
      </c>
      <c r="K61" s="7" t="n">
        <f aca="false">AVERAGE(B56:B60)</f>
        <v>2.6</v>
      </c>
      <c r="L61" s="7" t="n">
        <f aca="false">ABS(B61-K61)</f>
        <v>2.4</v>
      </c>
    </row>
    <row r="62" customFormat="false" ht="15" hidden="false" customHeight="false" outlineLevel="0" collapsed="false">
      <c r="A62" s="0" t="n">
        <v>61</v>
      </c>
      <c r="B62" s="6" t="n">
        <f aca="false">IF(MOD(A62,2)=0,5,1)</f>
        <v>1</v>
      </c>
      <c r="C62" s="7" t="n">
        <f aca="false">C61*(1-Annahmen!$B$13)+Annahmen!$B$15*(1+(B62-3)/2*Annahmen!$B$16)*(1+Annahmen!$B$25*(L62-Annahmen!$B$26))</f>
        <v>968.270357708627</v>
      </c>
      <c r="D62" s="7" t="n">
        <f aca="false">MIN(100,MAX(0,D61-Annahmen!$B$17*(B62-3)-Annahmen!$B$14*(D61-50)+Annahmen!$B$27*(L62-Annahmen!$B$26)))</f>
        <v>100</v>
      </c>
      <c r="E62" s="7" t="n">
        <f aca="false">E61+Annahmen!$B$12*(C62*Annahmen!$B$11*(D62/100)-E61)</f>
        <v>278.237840042671</v>
      </c>
      <c r="F62" s="7" t="n">
        <f aca="false">C62*Annahmen!$B$10*(D62/100)</f>
        <v>48.4135178854313</v>
      </c>
      <c r="G62" s="7" t="n">
        <f aca="false">E62*Annahmen!$B$9</f>
        <v>556.475680085343</v>
      </c>
      <c r="H62" s="7" t="n">
        <f aca="false">Annahmen!$B$18*Annahmen!$B$20*Annahmen!$B$19+Annahmen!$B$21+C62*Annahmen!$B$22</f>
        <v>96.6827035770863</v>
      </c>
      <c r="I62" s="7" t="n">
        <f aca="false">F62+G62-H62</f>
        <v>508.206494393688</v>
      </c>
      <c r="J62" s="7" t="n">
        <f aca="false">J61+I62</f>
        <v>17166.4798976532</v>
      </c>
      <c r="K62" s="7" t="n">
        <f aca="false">AVERAGE(B57:B61)</f>
        <v>3.4</v>
      </c>
      <c r="L62" s="7" t="n">
        <f aca="false">ABS(B62-K62)</f>
        <v>2.4</v>
      </c>
    </row>
    <row r="63" customFormat="false" ht="15" hidden="false" customHeight="false" outlineLevel="0" collapsed="false">
      <c r="A63" s="0" t="n">
        <v>62</v>
      </c>
      <c r="B63" s="6" t="n">
        <f aca="false">IF(MOD(A63,2)=0,5,1)</f>
        <v>5</v>
      </c>
      <c r="C63" s="7" t="n">
        <f aca="false">C62*(1-Annahmen!$B$13)+Annahmen!$B$15*(1+(B63-3)/2*Annahmen!$B$16)*(1+Annahmen!$B$25*(L63-Annahmen!$B$26))</f>
        <v>978.322246977368</v>
      </c>
      <c r="D63" s="7" t="n">
        <f aca="false">MIN(100,MAX(0,D62-Annahmen!$B$17*(B63-3)-Annahmen!$B$14*(D62-50)+Annahmen!$B$27*(L63-Annahmen!$B$26)))</f>
        <v>98</v>
      </c>
      <c r="E63" s="7" t="n">
        <f aca="false">E62+Annahmen!$B$12*(C63*Annahmen!$B$11*(D63/100)-E62)</f>
        <v>279.646175127973</v>
      </c>
      <c r="F63" s="7" t="n">
        <f aca="false">C63*Annahmen!$B$10*(D63/100)</f>
        <v>47.937790101891</v>
      </c>
      <c r="G63" s="7" t="n">
        <f aca="false">E63*Annahmen!$B$9</f>
        <v>559.292350255945</v>
      </c>
      <c r="H63" s="7" t="n">
        <f aca="false">Annahmen!$B$18*Annahmen!$B$20*Annahmen!$B$19+Annahmen!$B$21+C63*Annahmen!$B$22</f>
        <v>96.7832224697737</v>
      </c>
      <c r="I63" s="7" t="n">
        <f aca="false">F63+G63-H63</f>
        <v>510.446917888062</v>
      </c>
      <c r="J63" s="7" t="n">
        <f aca="false">J62+I63</f>
        <v>17676.9268155412</v>
      </c>
      <c r="K63" s="7" t="n">
        <f aca="false">AVERAGE(B58:B62)</f>
        <v>2.6</v>
      </c>
      <c r="L63" s="7" t="n">
        <f aca="false">ABS(B63-K63)</f>
        <v>2.4</v>
      </c>
    </row>
    <row r="64" customFormat="false" ht="15" hidden="false" customHeight="false" outlineLevel="0" collapsed="false">
      <c r="A64" s="0" t="n">
        <v>63</v>
      </c>
      <c r="B64" s="6" t="n">
        <f aca="false">IF(MOD(A64,2)=0,5,1)</f>
        <v>1</v>
      </c>
      <c r="C64" s="7" t="n">
        <f aca="false">C63*(1-Annahmen!$B$13)+Annahmen!$B$15*(1+(B64-3)/2*Annahmen!$B$16)*(1+Annahmen!$B$25*(L64-Annahmen!$B$26))</f>
        <v>977.872579568047</v>
      </c>
      <c r="D64" s="7" t="n">
        <f aca="false">MIN(100,MAX(0,D63-Annahmen!$B$17*(B64-3)-Annahmen!$B$14*(D63-50)+Annahmen!$B$27*(L64-Annahmen!$B$26)))</f>
        <v>100</v>
      </c>
      <c r="E64" s="7" t="n">
        <f aca="false">E63+Annahmen!$B$12*(C64*Annahmen!$B$11*(D64/100)-E63)</f>
        <v>281.703514939339</v>
      </c>
      <c r="F64" s="7" t="n">
        <f aca="false">C64*Annahmen!$B$10*(D64/100)</f>
        <v>48.8936289784024</v>
      </c>
      <c r="G64" s="7" t="n">
        <f aca="false">E64*Annahmen!$B$9</f>
        <v>563.407029878678</v>
      </c>
      <c r="H64" s="7" t="n">
        <f aca="false">Annahmen!$B$18*Annahmen!$B$20*Annahmen!$B$19+Annahmen!$B$21+C64*Annahmen!$B$22</f>
        <v>96.7787257956805</v>
      </c>
      <c r="I64" s="7" t="n">
        <f aca="false">F64+G64-H64</f>
        <v>515.5219330614</v>
      </c>
      <c r="J64" s="7" t="n">
        <f aca="false">J63+I64</f>
        <v>18192.4487486026</v>
      </c>
      <c r="K64" s="7" t="n">
        <f aca="false">AVERAGE(B59:B63)</f>
        <v>3.4</v>
      </c>
      <c r="L64" s="7" t="n">
        <f aca="false">ABS(B64-K64)</f>
        <v>2.4</v>
      </c>
    </row>
    <row r="65" customFormat="false" ht="15" hidden="false" customHeight="false" outlineLevel="0" collapsed="false">
      <c r="A65" s="0" t="n">
        <v>64</v>
      </c>
      <c r="B65" s="6" t="n">
        <f aca="false">IF(MOD(A65,2)=0,5,1)</f>
        <v>5</v>
      </c>
      <c r="C65" s="7" t="n">
        <f aca="false">C64*(1-Annahmen!$B$13)+Annahmen!$B$15*(1+(B65-3)/2*Annahmen!$B$16)*(1+Annahmen!$B$25*(L65-Annahmen!$B$26))</f>
        <v>987.636402181006</v>
      </c>
      <c r="D65" s="7" t="n">
        <f aca="false">MIN(100,MAX(0,D64-Annahmen!$B$17*(B65-3)-Annahmen!$B$14*(D64-50)+Annahmen!$B$27*(L65-Annahmen!$B$26)))</f>
        <v>98</v>
      </c>
      <c r="E65" s="7" t="n">
        <f aca="false">E64+Annahmen!$B$12*(C65*Annahmen!$B$11*(D65/100)-E64)</f>
        <v>283.00275303462</v>
      </c>
      <c r="F65" s="7" t="n">
        <f aca="false">C65*Annahmen!$B$10*(D65/100)</f>
        <v>48.3941837068693</v>
      </c>
      <c r="G65" s="7" t="n">
        <f aca="false">E65*Annahmen!$B$9</f>
        <v>566.005506069241</v>
      </c>
      <c r="H65" s="7" t="n">
        <f aca="false">Annahmen!$B$18*Annahmen!$B$20*Annahmen!$B$19+Annahmen!$B$21+C65*Annahmen!$B$22</f>
        <v>96.8763640218101</v>
      </c>
      <c r="I65" s="7" t="n">
        <f aca="false">F65+G65-H65</f>
        <v>517.5233257543</v>
      </c>
      <c r="J65" s="7" t="n">
        <f aca="false">J64+I65</f>
        <v>18709.9720743569</v>
      </c>
      <c r="K65" s="7" t="n">
        <f aca="false">AVERAGE(B60:B64)</f>
        <v>2.6</v>
      </c>
      <c r="L65" s="7" t="n">
        <f aca="false">ABS(B65-K65)</f>
        <v>2.4</v>
      </c>
    </row>
    <row r="66" customFormat="false" ht="15" hidden="false" customHeight="false" outlineLevel="0" collapsed="false">
      <c r="A66" s="0" t="n">
        <v>65</v>
      </c>
      <c r="B66" s="6" t="n">
        <f aca="false">IF(MOD(A66,2)=0,5,1)</f>
        <v>1</v>
      </c>
      <c r="C66" s="7" t="n">
        <f aca="false">C65*(1-Annahmen!$B$13)+Annahmen!$B$15*(1+(B66-3)/2*Annahmen!$B$16)*(1+Annahmen!$B$25*(L66-Annahmen!$B$26))</f>
        <v>986.907310115575</v>
      </c>
      <c r="D66" s="7" t="n">
        <f aca="false">MIN(100,MAX(0,D65-Annahmen!$B$17*(B66-3)-Annahmen!$B$14*(D65-50)+Annahmen!$B$27*(L66-Annahmen!$B$26)))</f>
        <v>100</v>
      </c>
      <c r="E66" s="7" t="n">
        <f aca="false">E65+Annahmen!$B$12*(C66*Annahmen!$B$11*(D66/100)-E65)</f>
        <v>284.963169034628</v>
      </c>
      <c r="F66" s="7" t="n">
        <f aca="false">C66*Annahmen!$B$10*(D66/100)</f>
        <v>49.3453655057788</v>
      </c>
      <c r="G66" s="7" t="n">
        <f aca="false">E66*Annahmen!$B$9</f>
        <v>569.926338069256</v>
      </c>
      <c r="H66" s="7" t="n">
        <f aca="false">Annahmen!$B$18*Annahmen!$B$20*Annahmen!$B$19+Annahmen!$B$21+C66*Annahmen!$B$22</f>
        <v>96.8690731011558</v>
      </c>
      <c r="I66" s="7" t="n">
        <f aca="false">F66+G66-H66</f>
        <v>522.402630473879</v>
      </c>
      <c r="J66" s="7" t="n">
        <f aca="false">J65+I66</f>
        <v>19232.3747048308</v>
      </c>
      <c r="K66" s="7" t="n">
        <f aca="false">AVERAGE(B61:B65)</f>
        <v>3.4</v>
      </c>
      <c r="L66" s="7" t="n">
        <f aca="false">ABS(B66-K66)</f>
        <v>2.4</v>
      </c>
    </row>
    <row r="67" customFormat="false" ht="15" hidden="false" customHeight="false" outlineLevel="0" collapsed="false">
      <c r="A67" s="0" t="n">
        <v>66</v>
      </c>
      <c r="B67" s="6" t="n">
        <f aca="false">IF(MOD(A67,2)=0,5,1)</f>
        <v>5</v>
      </c>
      <c r="C67" s="7" t="n">
        <f aca="false">C66*(1-Annahmen!$B$13)+Annahmen!$B$15*(1+(B67-3)/2*Annahmen!$B$16)*(1+Annahmen!$B$25*(L67-Annahmen!$B$26))</f>
        <v>996.400090812108</v>
      </c>
      <c r="D67" s="7" t="n">
        <f aca="false">MIN(100,MAX(0,D66-Annahmen!$B$17*(B67-3)-Annahmen!$B$14*(D66-50)+Annahmen!$B$27*(L67-Annahmen!$B$26)))</f>
        <v>98</v>
      </c>
      <c r="E67" s="7" t="n">
        <f aca="false">E66+Annahmen!$B$12*(C67*Annahmen!$B$11*(D67/100)-E66)</f>
        <v>286.159937684248</v>
      </c>
      <c r="F67" s="7" t="n">
        <f aca="false">C67*Annahmen!$B$10*(D67/100)</f>
        <v>48.8236044497933</v>
      </c>
      <c r="G67" s="7" t="n">
        <f aca="false">E67*Annahmen!$B$9</f>
        <v>572.319875368496</v>
      </c>
      <c r="H67" s="7" t="n">
        <f aca="false">Annahmen!$B$18*Annahmen!$B$20*Annahmen!$B$19+Annahmen!$B$21+C67*Annahmen!$B$22</f>
        <v>96.9640009081211</v>
      </c>
      <c r="I67" s="7" t="n">
        <f aca="false">F67+G67-H67</f>
        <v>524.179478910168</v>
      </c>
      <c r="J67" s="7" t="n">
        <f aca="false">J66+I67</f>
        <v>19756.554183741</v>
      </c>
      <c r="K67" s="7" t="n">
        <f aca="false">AVERAGE(B62:B66)</f>
        <v>2.6</v>
      </c>
      <c r="L67" s="7" t="n">
        <f aca="false">ABS(B67-K67)</f>
        <v>2.4</v>
      </c>
    </row>
    <row r="68" customFormat="false" ht="15" hidden="false" customHeight="false" outlineLevel="0" collapsed="false">
      <c r="A68" s="0" t="n">
        <v>67</v>
      </c>
      <c r="B68" s="6" t="n">
        <f aca="false">IF(MOD(A68,2)=0,5,1)</f>
        <v>1</v>
      </c>
      <c r="C68" s="7" t="n">
        <f aca="false">C67*(1-Annahmen!$B$13)+Annahmen!$B$15*(1+(B68-3)/2*Annahmen!$B$16)*(1+Annahmen!$B$25*(L68-Annahmen!$B$26))</f>
        <v>995.408088087745</v>
      </c>
      <c r="D68" s="7" t="n">
        <f aca="false">MIN(100,MAX(0,D67-Annahmen!$B$17*(B68-3)-Annahmen!$B$14*(D67-50)+Annahmen!$B$27*(L68-Annahmen!$B$26)))</f>
        <v>100</v>
      </c>
      <c r="E68" s="7" t="n">
        <f aca="false">E67+Annahmen!$B$12*(C68*Annahmen!$B$11*(D68/100)-E67)</f>
        <v>288.029310995559</v>
      </c>
      <c r="F68" s="7" t="n">
        <f aca="false">C68*Annahmen!$B$10*(D68/100)</f>
        <v>49.7704044043872</v>
      </c>
      <c r="G68" s="7" t="n">
        <f aca="false">E68*Annahmen!$B$9</f>
        <v>576.058621991119</v>
      </c>
      <c r="H68" s="7" t="n">
        <f aca="false">Annahmen!$B$18*Annahmen!$B$20*Annahmen!$B$19+Annahmen!$B$21+C68*Annahmen!$B$22</f>
        <v>96.9540808808774</v>
      </c>
      <c r="I68" s="7" t="n">
        <f aca="false">F68+G68-H68</f>
        <v>528.874945514628</v>
      </c>
      <c r="J68" s="7" t="n">
        <f aca="false">J67+I68</f>
        <v>20285.4291292556</v>
      </c>
      <c r="K68" s="7" t="n">
        <f aca="false">AVERAGE(B63:B67)</f>
        <v>3.4</v>
      </c>
      <c r="L68" s="7" t="n">
        <f aca="false">ABS(B68-K68)</f>
        <v>2.4</v>
      </c>
    </row>
    <row r="69" customFormat="false" ht="15" hidden="false" customHeight="false" outlineLevel="0" collapsed="false">
      <c r="A69" s="0" t="n">
        <v>68</v>
      </c>
      <c r="B69" s="6" t="n">
        <f aca="false">IF(MOD(A69,2)=0,5,1)</f>
        <v>5</v>
      </c>
      <c r="C69" s="7" t="n">
        <f aca="false">C68*(1-Annahmen!$B$13)+Annahmen!$B$15*(1+(B69-3)/2*Annahmen!$B$16)*(1+Annahmen!$B$25*(L69-Annahmen!$B$26))</f>
        <v>1004.64584544511</v>
      </c>
      <c r="D69" s="7" t="n">
        <f aca="false">MIN(100,MAX(0,D68-Annahmen!$B$17*(B69-3)-Annahmen!$B$14*(D68-50)+Annahmen!$B$27*(L69-Annahmen!$B$26)))</f>
        <v>98</v>
      </c>
      <c r="E69" s="7" t="n">
        <f aca="false">E68+Annahmen!$B$12*(C69*Annahmen!$B$11*(D69/100)-E68)</f>
        <v>289.129796130355</v>
      </c>
      <c r="F69" s="7" t="n">
        <f aca="false">C69*Annahmen!$B$10*(D69/100)</f>
        <v>49.2276464268105</v>
      </c>
      <c r="G69" s="7" t="n">
        <f aca="false">E69*Annahmen!$B$9</f>
        <v>578.25959226071</v>
      </c>
      <c r="H69" s="7" t="n">
        <f aca="false">Annahmen!$B$18*Annahmen!$B$20*Annahmen!$B$19+Annahmen!$B$21+C69*Annahmen!$B$22</f>
        <v>97.0464584544511</v>
      </c>
      <c r="I69" s="7" t="n">
        <f aca="false">F69+G69-H69</f>
        <v>530.440780233069</v>
      </c>
      <c r="J69" s="7" t="n">
        <f aca="false">J68+I69</f>
        <v>20815.8699094887</v>
      </c>
      <c r="K69" s="7" t="n">
        <f aca="false">AVERAGE(B64:B68)</f>
        <v>2.6</v>
      </c>
      <c r="L69" s="7" t="n">
        <f aca="false">ABS(B69-K69)</f>
        <v>2.4</v>
      </c>
    </row>
    <row r="70" customFormat="false" ht="15" hidden="false" customHeight="false" outlineLevel="0" collapsed="false">
      <c r="A70" s="0" t="n">
        <v>69</v>
      </c>
      <c r="B70" s="6" t="n">
        <f aca="false">IF(MOD(A70,2)=0,5,1)</f>
        <v>1</v>
      </c>
      <c r="C70" s="7" t="n">
        <f aca="false">C69*(1-Annahmen!$B$13)+Annahmen!$B$15*(1+(B70-3)/2*Annahmen!$B$16)*(1+Annahmen!$B$25*(L70-Annahmen!$B$26))</f>
        <v>1003.40647008176</v>
      </c>
      <c r="D70" s="7" t="n">
        <f aca="false">MIN(100,MAX(0,D69-Annahmen!$B$17*(B70-3)-Annahmen!$B$14*(D69-50)+Annahmen!$B$27*(L70-Annahmen!$B$26)))</f>
        <v>100</v>
      </c>
      <c r="E70" s="7" t="n">
        <f aca="false">E69+Annahmen!$B$12*(C70*Annahmen!$B$11*(D70/100)-E69)</f>
        <v>290.913617864481</v>
      </c>
      <c r="F70" s="7" t="n">
        <f aca="false">C70*Annahmen!$B$10*(D70/100)</f>
        <v>50.1703235040879</v>
      </c>
      <c r="G70" s="7" t="n">
        <f aca="false">E70*Annahmen!$B$9</f>
        <v>581.827235728962</v>
      </c>
      <c r="H70" s="7" t="n">
        <f aca="false">Annahmen!$B$18*Annahmen!$B$20*Annahmen!$B$19+Annahmen!$B$21+C70*Annahmen!$B$22</f>
        <v>97.0340647008176</v>
      </c>
      <c r="I70" s="7" t="n">
        <f aca="false">F70+G70-H70</f>
        <v>534.963494532232</v>
      </c>
      <c r="J70" s="7" t="n">
        <f aca="false">J69+I70</f>
        <v>21350.8334040209</v>
      </c>
      <c r="K70" s="7" t="n">
        <f aca="false">AVERAGE(B65:B69)</f>
        <v>3.4</v>
      </c>
      <c r="L70" s="7" t="n">
        <f aca="false">ABS(B70-K70)</f>
        <v>2.4</v>
      </c>
    </row>
    <row r="71" customFormat="false" ht="15" hidden="false" customHeight="false" outlineLevel="0" collapsed="false">
      <c r="A71" s="0" t="n">
        <v>70</v>
      </c>
      <c r="B71" s="6" t="n">
        <f aca="false">IF(MOD(A71,2)=0,5,1)</f>
        <v>5</v>
      </c>
      <c r="C71" s="7" t="n">
        <f aca="false">C70*(1-Annahmen!$B$13)+Annahmen!$B$15*(1+(B71-3)/2*Annahmen!$B$16)*(1+Annahmen!$B$25*(L71-Annahmen!$B$26))</f>
        <v>1012.40427597931</v>
      </c>
      <c r="D71" s="7" t="n">
        <f aca="false">MIN(100,MAX(0,D70-Annahmen!$B$17*(B71-3)-Annahmen!$B$14*(D70-50)+Annahmen!$B$27*(L71-Annahmen!$B$26)))</f>
        <v>98</v>
      </c>
      <c r="E71" s="7" t="n">
        <f aca="false">E70+Annahmen!$B$12*(C71*Annahmen!$B$11*(D71/100)-E70)</f>
        <v>291.923603755496</v>
      </c>
      <c r="F71" s="7" t="n">
        <f aca="false">C71*Annahmen!$B$10*(D71/100)</f>
        <v>49.607809522986</v>
      </c>
      <c r="G71" s="7" t="n">
        <f aca="false">E71*Annahmen!$B$9</f>
        <v>583.847207510992</v>
      </c>
      <c r="H71" s="7" t="n">
        <f aca="false">Annahmen!$B$18*Annahmen!$B$20*Annahmen!$B$19+Annahmen!$B$21+C71*Annahmen!$B$22</f>
        <v>97.1240427597931</v>
      </c>
      <c r="I71" s="7" t="n">
        <f aca="false">F71+G71-H71</f>
        <v>536.330974274185</v>
      </c>
      <c r="J71" s="7" t="n">
        <f aca="false">J70+I71</f>
        <v>21887.1643782951</v>
      </c>
      <c r="K71" s="7" t="n">
        <f aca="false">AVERAGE(B66:B70)</f>
        <v>2.6</v>
      </c>
      <c r="L71" s="7" t="n">
        <f aca="false">ABS(B71-K71)</f>
        <v>2.4</v>
      </c>
    </row>
    <row r="72" customFormat="false" ht="15" hidden="false" customHeight="false" outlineLevel="0" collapsed="false">
      <c r="A72" s="0" t="n">
        <v>71</v>
      </c>
      <c r="B72" s="6" t="n">
        <f aca="false">IF(MOD(A72,2)=0,5,1)</f>
        <v>1</v>
      </c>
      <c r="C72" s="7" t="n">
        <f aca="false">C71*(1-Annahmen!$B$13)+Annahmen!$B$15*(1+(B72-3)/2*Annahmen!$B$16)*(1+Annahmen!$B$25*(L72-Annahmen!$B$26))</f>
        <v>1010.93214769993</v>
      </c>
      <c r="D72" s="7" t="n">
        <f aca="false">MIN(100,MAX(0,D71-Annahmen!$B$17*(B72-3)-Annahmen!$B$14*(D71-50)+Annahmen!$B$27*(L72-Annahmen!$B$26)))</f>
        <v>100</v>
      </c>
      <c r="E72" s="7" t="n">
        <f aca="false">E71+Annahmen!$B$12*(C72*Annahmen!$B$11*(D72/100)-E71)</f>
        <v>293.627009838668</v>
      </c>
      <c r="F72" s="7" t="n">
        <f aca="false">C72*Annahmen!$B$10*(D72/100)</f>
        <v>50.5466073849963</v>
      </c>
      <c r="G72" s="7" t="n">
        <f aca="false">E72*Annahmen!$B$9</f>
        <v>587.254019677337</v>
      </c>
      <c r="H72" s="7" t="n">
        <f aca="false">Annahmen!$B$18*Annahmen!$B$20*Annahmen!$B$19+Annahmen!$B$21+C72*Annahmen!$B$22</f>
        <v>97.1093214769993</v>
      </c>
      <c r="I72" s="7" t="n">
        <f aca="false">F72+G72-H72</f>
        <v>540.691305585334</v>
      </c>
      <c r="J72" s="7" t="n">
        <f aca="false">J71+I72</f>
        <v>22427.8556838804</v>
      </c>
      <c r="K72" s="7" t="n">
        <f aca="false">AVERAGE(B67:B71)</f>
        <v>3.4</v>
      </c>
      <c r="L72" s="7" t="n">
        <f aca="false">ABS(B72-K72)</f>
        <v>2.4</v>
      </c>
    </row>
    <row r="73" customFormat="false" ht="15" hidden="false" customHeight="false" outlineLevel="0" collapsed="false">
      <c r="A73" s="0" t="n">
        <v>72</v>
      </c>
      <c r="B73" s="6" t="n">
        <f aca="false">IF(MOD(A73,2)=0,5,1)</f>
        <v>5</v>
      </c>
      <c r="C73" s="7" t="n">
        <f aca="false">C72*(1-Annahmen!$B$13)+Annahmen!$B$15*(1+(B73-3)/2*Annahmen!$B$16)*(1+Annahmen!$B$25*(L73-Annahmen!$B$26))</f>
        <v>1019.70418326893</v>
      </c>
      <c r="D73" s="7" t="n">
        <f aca="false">MIN(100,MAX(0,D72-Annahmen!$B$17*(B73-3)-Annahmen!$B$14*(D72-50)+Annahmen!$B$27*(L73-Annahmen!$B$26)))</f>
        <v>98</v>
      </c>
      <c r="E73" s="7" t="n">
        <f aca="false">E72+Annahmen!$B$12*(C73*Annahmen!$B$11*(D73/100)-E72)</f>
        <v>294.551912845028</v>
      </c>
      <c r="F73" s="7" t="n">
        <f aca="false">C73*Annahmen!$B$10*(D73/100)</f>
        <v>49.9655049801775</v>
      </c>
      <c r="G73" s="7" t="n">
        <f aca="false">E73*Annahmen!$B$9</f>
        <v>589.103825690056</v>
      </c>
      <c r="H73" s="7" t="n">
        <f aca="false">Annahmen!$B$18*Annahmen!$B$20*Annahmen!$B$19+Annahmen!$B$21+C73*Annahmen!$B$22</f>
        <v>97.1970418326893</v>
      </c>
      <c r="I73" s="7" t="n">
        <f aca="false">F73+G73-H73</f>
        <v>541.872288837544</v>
      </c>
      <c r="J73" s="7" t="n">
        <f aca="false">J72+I73</f>
        <v>22969.727972718</v>
      </c>
      <c r="K73" s="7" t="n">
        <f aca="false">AVERAGE(B68:B72)</f>
        <v>2.6</v>
      </c>
      <c r="L73" s="7" t="n">
        <f aca="false">ABS(B73-K73)</f>
        <v>2.4</v>
      </c>
    </row>
    <row r="74" customFormat="false" ht="15" hidden="false" customHeight="false" outlineLevel="0" collapsed="false">
      <c r="A74" s="0" t="n">
        <v>73</v>
      </c>
      <c r="B74" s="6" t="n">
        <f aca="false">IF(MOD(A74,2)=0,5,1)</f>
        <v>1</v>
      </c>
      <c r="C74" s="7" t="n">
        <f aca="false">C73*(1-Annahmen!$B$13)+Annahmen!$B$15*(1+(B74-3)/2*Annahmen!$B$16)*(1+Annahmen!$B$25*(L74-Annahmen!$B$26))</f>
        <v>1018.01305777086</v>
      </c>
      <c r="D74" s="7" t="n">
        <f aca="false">MIN(100,MAX(0,D73-Annahmen!$B$17*(B74-3)-Annahmen!$B$14*(D73-50)+Annahmen!$B$27*(L74-Annahmen!$B$26)))</f>
        <v>100</v>
      </c>
      <c r="E74" s="7" t="n">
        <f aca="false">E73+Annahmen!$B$12*(C74*Annahmen!$B$11*(D74/100)-E73)</f>
        <v>296.179713517962</v>
      </c>
      <c r="F74" s="7" t="n">
        <f aca="false">C74*Annahmen!$B$10*(D74/100)</f>
        <v>50.9006528885431</v>
      </c>
      <c r="G74" s="7" t="n">
        <f aca="false">E74*Annahmen!$B$9</f>
        <v>592.359427035925</v>
      </c>
      <c r="H74" s="7" t="n">
        <f aca="false">Annahmen!$B$18*Annahmen!$B$20*Annahmen!$B$19+Annahmen!$B$21+C74*Annahmen!$B$22</f>
        <v>97.1801305777086</v>
      </c>
      <c r="I74" s="7" t="n">
        <f aca="false">F74+G74-H74</f>
        <v>546.079949346759</v>
      </c>
      <c r="J74" s="7" t="n">
        <f aca="false">J73+I74</f>
        <v>23515.8079220647</v>
      </c>
      <c r="K74" s="7" t="n">
        <f aca="false">AVERAGE(B69:B73)</f>
        <v>3.4</v>
      </c>
      <c r="L74" s="7" t="n">
        <f aca="false">ABS(B74-K74)</f>
        <v>2.4</v>
      </c>
    </row>
    <row r="75" customFormat="false" ht="15" hidden="false" customHeight="false" outlineLevel="0" collapsed="false">
      <c r="A75" s="0" t="n">
        <v>74</v>
      </c>
      <c r="B75" s="6" t="n">
        <f aca="false">IF(MOD(A75,2)=0,5,1)</f>
        <v>5</v>
      </c>
      <c r="C75" s="7" t="n">
        <f aca="false">C74*(1-Annahmen!$B$13)+Annahmen!$B$15*(1+(B75-3)/2*Annahmen!$B$16)*(1+Annahmen!$B$25*(L75-Annahmen!$B$26))</f>
        <v>1026.57266603774</v>
      </c>
      <c r="D75" s="7" t="n">
        <f aca="false">MIN(100,MAX(0,D74-Annahmen!$B$17*(B75-3)-Annahmen!$B$14*(D74-50)+Annahmen!$B$27*(L75-Annahmen!$B$26)))</f>
        <v>98</v>
      </c>
      <c r="E75" s="7" t="n">
        <f aca="false">E74+Annahmen!$B$12*(C75*Annahmen!$B$11*(D75/100)-E74)</f>
        <v>297.024611062532</v>
      </c>
      <c r="F75" s="7" t="n">
        <f aca="false">C75*Annahmen!$B$10*(D75/100)</f>
        <v>50.302060635849</v>
      </c>
      <c r="G75" s="7" t="n">
        <f aca="false">E75*Annahmen!$B$9</f>
        <v>594.049222125064</v>
      </c>
      <c r="H75" s="7" t="n">
        <f aca="false">Annahmen!$B$18*Annahmen!$B$20*Annahmen!$B$19+Annahmen!$B$21+C75*Annahmen!$B$22</f>
        <v>97.2657266603774</v>
      </c>
      <c r="I75" s="7" t="n">
        <f aca="false">F75+G75-H75</f>
        <v>547.085556100536</v>
      </c>
      <c r="J75" s="7" t="n">
        <f aca="false">J74+I75</f>
        <v>24062.8934781653</v>
      </c>
      <c r="K75" s="7" t="n">
        <f aca="false">AVERAGE(B70:B74)</f>
        <v>2.6</v>
      </c>
      <c r="L75" s="7" t="n">
        <f aca="false">ABS(B75-K75)</f>
        <v>2.4</v>
      </c>
    </row>
    <row r="76" customFormat="false" ht="15" hidden="false" customHeight="false" outlineLevel="0" collapsed="false">
      <c r="A76" s="0" t="n">
        <v>75</v>
      </c>
      <c r="B76" s="6" t="n">
        <f aca="false">IF(MOD(A76,2)=0,5,1)</f>
        <v>1</v>
      </c>
      <c r="C76" s="7" t="n">
        <f aca="false">C75*(1-Annahmen!$B$13)+Annahmen!$B$15*(1+(B76-3)/2*Annahmen!$B$16)*(1+Annahmen!$B$25*(L76-Annahmen!$B$26))</f>
        <v>1024.6754860566</v>
      </c>
      <c r="D76" s="7" t="n">
        <f aca="false">MIN(100,MAX(0,D75-Annahmen!$B$17*(B76-3)-Annahmen!$B$14*(D75-50)+Annahmen!$B$27*(L76-Annahmen!$B$26)))</f>
        <v>100</v>
      </c>
      <c r="E76" s="7" t="n">
        <f aca="false">E75+Annahmen!$B$12*(C76*Annahmen!$B$11*(D76/100)-E75)</f>
        <v>298.581316275699</v>
      </c>
      <c r="F76" s="7" t="n">
        <f aca="false">C76*Annahmen!$B$10*(D76/100)</f>
        <v>51.2337743028302</v>
      </c>
      <c r="G76" s="7" t="n">
        <f aca="false">E76*Annahmen!$B$9</f>
        <v>597.162632551399</v>
      </c>
      <c r="H76" s="7" t="n">
        <f aca="false">Annahmen!$B$18*Annahmen!$B$20*Annahmen!$B$19+Annahmen!$B$21+C76*Annahmen!$B$22</f>
        <v>97.246754860566</v>
      </c>
      <c r="I76" s="7" t="n">
        <f aca="false">F76+G76-H76</f>
        <v>551.149651993663</v>
      </c>
      <c r="J76" s="7" t="n">
        <f aca="false">J75+I76</f>
        <v>24614.0431301589</v>
      </c>
      <c r="K76" s="7" t="n">
        <f aca="false">AVERAGE(B71:B75)</f>
        <v>3.4</v>
      </c>
      <c r="L76" s="7" t="n">
        <f aca="false">ABS(B76-K76)</f>
        <v>2.4</v>
      </c>
    </row>
    <row r="77" customFormat="false" ht="15" hidden="false" customHeight="false" outlineLevel="0" collapsed="false">
      <c r="A77" s="0" t="n">
        <v>76</v>
      </c>
      <c r="B77" s="6" t="n">
        <f aca="false">IF(MOD(A77,2)=0,5,1)</f>
        <v>5</v>
      </c>
      <c r="C77" s="7" t="n">
        <f aca="false">C76*(1-Annahmen!$B$13)+Annahmen!$B$15*(1+(B77-3)/2*Annahmen!$B$16)*(1+Annahmen!$B$25*(L77-Annahmen!$B$26))</f>
        <v>1033.03522147491</v>
      </c>
      <c r="D77" s="7" t="n">
        <f aca="false">MIN(100,MAX(0,D76-Annahmen!$B$17*(B77-3)-Annahmen!$B$14*(D76-50)+Annahmen!$B$27*(L77-Annahmen!$B$26)))</f>
        <v>98</v>
      </c>
      <c r="E77" s="7" t="n">
        <f aca="false">E76+Annahmen!$B$12*(C77*Annahmen!$B$11*(D77/100)-E76)</f>
        <v>299.350972101388</v>
      </c>
      <c r="F77" s="7" t="n">
        <f aca="false">C77*Annahmen!$B$10*(D77/100)</f>
        <v>50.6187258522704</v>
      </c>
      <c r="G77" s="7" t="n">
        <f aca="false">E77*Annahmen!$B$9</f>
        <v>598.701944202776</v>
      </c>
      <c r="H77" s="7" t="n">
        <f aca="false">Annahmen!$B$18*Annahmen!$B$20*Annahmen!$B$19+Annahmen!$B$21+C77*Annahmen!$B$22</f>
        <v>97.3303522147491</v>
      </c>
      <c r="I77" s="7" t="n">
        <f aca="false">F77+G77-H77</f>
        <v>551.990317840297</v>
      </c>
      <c r="J77" s="7" t="n">
        <f aca="false">J76+I77</f>
        <v>25166.0334479992</v>
      </c>
      <c r="K77" s="7" t="n">
        <f aca="false">AVERAGE(B72:B76)</f>
        <v>2.6</v>
      </c>
      <c r="L77" s="7" t="n">
        <f aca="false">ABS(B77-K77)</f>
        <v>2.4</v>
      </c>
    </row>
    <row r="78" customFormat="false" ht="15" hidden="false" customHeight="false" outlineLevel="0" collapsed="false">
      <c r="A78" s="0" t="n">
        <v>77</v>
      </c>
      <c r="B78" s="6" t="n">
        <f aca="false">IF(MOD(A78,2)=0,5,1)</f>
        <v>1</v>
      </c>
      <c r="C78" s="7" t="n">
        <f aca="false">C77*(1-Annahmen!$B$13)+Annahmen!$B$15*(1+(B78-3)/2*Annahmen!$B$16)*(1+Annahmen!$B$25*(L78-Annahmen!$B$26))</f>
        <v>1030.94416483066</v>
      </c>
      <c r="D78" s="7" t="n">
        <f aca="false">MIN(100,MAX(0,D77-Annahmen!$B$17*(B78-3)-Annahmen!$B$14*(D77-50)+Annahmen!$B$27*(L78-Annahmen!$B$26)))</f>
        <v>100</v>
      </c>
      <c r="E78" s="7" t="n">
        <f aca="false">E77+Annahmen!$B$12*(C78*Annahmen!$B$11*(D78/100)-E77)</f>
        <v>300.840813703559</v>
      </c>
      <c r="F78" s="7" t="n">
        <f aca="false">C78*Annahmen!$B$10*(D78/100)</f>
        <v>51.5472082415329</v>
      </c>
      <c r="G78" s="7" t="n">
        <f aca="false">E78*Annahmen!$B$9</f>
        <v>601.681627407119</v>
      </c>
      <c r="H78" s="7" t="n">
        <f aca="false">Annahmen!$B$18*Annahmen!$B$20*Annahmen!$B$19+Annahmen!$B$21+C78*Annahmen!$B$22</f>
        <v>97.3094416483066</v>
      </c>
      <c r="I78" s="7" t="n">
        <f aca="false">F78+G78-H78</f>
        <v>555.919394000345</v>
      </c>
      <c r="J78" s="7" t="n">
        <f aca="false">J77+I78</f>
        <v>25721.9528419996</v>
      </c>
      <c r="K78" s="7" t="n">
        <f aca="false">AVERAGE(B73:B77)</f>
        <v>3.4</v>
      </c>
      <c r="L78" s="7" t="n">
        <f aca="false">ABS(B78-K78)</f>
        <v>2.4</v>
      </c>
    </row>
    <row r="79" customFormat="false" ht="15" hidden="false" customHeight="false" outlineLevel="0" collapsed="false">
      <c r="A79" s="0" t="n">
        <v>78</v>
      </c>
      <c r="B79" s="6" t="n">
        <f aca="false">IF(MOD(A79,2)=0,5,1)</f>
        <v>5</v>
      </c>
      <c r="C79" s="7" t="n">
        <f aca="false">C78*(1-Annahmen!$B$13)+Annahmen!$B$15*(1+(B79-3)/2*Annahmen!$B$16)*(1+Annahmen!$B$25*(L79-Annahmen!$B$26))</f>
        <v>1039.11583988574</v>
      </c>
      <c r="D79" s="7" t="n">
        <f aca="false">MIN(100,MAX(0,D78-Annahmen!$B$17*(B79-3)-Annahmen!$B$14*(D78-50)+Annahmen!$B$27*(L79-Annahmen!$B$26)))</f>
        <v>98</v>
      </c>
      <c r="E79" s="7" t="n">
        <f aca="false">E78+Annahmen!$B$12*(C79*Annahmen!$B$11*(D79/100)-E78)</f>
        <v>301.539700186986</v>
      </c>
      <c r="F79" s="7" t="n">
        <f aca="false">C79*Annahmen!$B$10*(D79/100)</f>
        <v>50.9166761544012</v>
      </c>
      <c r="G79" s="7" t="n">
        <f aca="false">E79*Annahmen!$B$9</f>
        <v>603.079400373973</v>
      </c>
      <c r="H79" s="7" t="n">
        <f aca="false">Annahmen!$B$18*Annahmen!$B$20*Annahmen!$B$19+Annahmen!$B$21+C79*Annahmen!$B$22</f>
        <v>97.3911583988574</v>
      </c>
      <c r="I79" s="7" t="n">
        <f aca="false">F79+G79-H79</f>
        <v>556.604918129517</v>
      </c>
      <c r="J79" s="7" t="n">
        <f aca="false">J78+I79</f>
        <v>26278.5577601291</v>
      </c>
      <c r="K79" s="7" t="n">
        <f aca="false">AVERAGE(B74:B78)</f>
        <v>2.6</v>
      </c>
      <c r="L79" s="7" t="n">
        <f aca="false">ABS(B79-K79)</f>
        <v>2.4</v>
      </c>
    </row>
    <row r="80" customFormat="false" ht="15" hidden="false" customHeight="false" outlineLevel="0" collapsed="false">
      <c r="A80" s="0" t="n">
        <v>79</v>
      </c>
      <c r="B80" s="6" t="n">
        <f aca="false">IF(MOD(A80,2)=0,5,1)</f>
        <v>1</v>
      </c>
      <c r="C80" s="7" t="n">
        <f aca="false">C79*(1-Annahmen!$B$13)+Annahmen!$B$15*(1+(B80-3)/2*Annahmen!$B$16)*(1+Annahmen!$B$25*(L80-Annahmen!$B$26))</f>
        <v>1036.84236468917</v>
      </c>
      <c r="D80" s="7" t="n">
        <f aca="false">MIN(100,MAX(0,D79-Annahmen!$B$17*(B80-3)-Annahmen!$B$14*(D79-50)+Annahmen!$B$27*(L80-Annahmen!$B$26)))</f>
        <v>100</v>
      </c>
      <c r="E80" s="7" t="n">
        <f aca="false">E79+Annahmen!$B$12*(C80*Annahmen!$B$11*(D80/100)-E79)</f>
        <v>302.966651569951</v>
      </c>
      <c r="F80" s="7" t="n">
        <f aca="false">C80*Annahmen!$B$10*(D80/100)</f>
        <v>51.8421182344583</v>
      </c>
      <c r="G80" s="7" t="n">
        <f aca="false">E80*Annahmen!$B$9</f>
        <v>605.933303139902</v>
      </c>
      <c r="H80" s="7" t="n">
        <f aca="false">Annahmen!$B$18*Annahmen!$B$20*Annahmen!$B$19+Annahmen!$B$21+C80*Annahmen!$B$22</f>
        <v>97.3684236468917</v>
      </c>
      <c r="I80" s="7" t="n">
        <f aca="false">F80+G80-H80</f>
        <v>560.406997727469</v>
      </c>
      <c r="J80" s="7" t="n">
        <f aca="false">J79+I80</f>
        <v>26838.9647578565</v>
      </c>
      <c r="K80" s="7" t="n">
        <f aca="false">AVERAGE(B75:B79)</f>
        <v>3.4</v>
      </c>
      <c r="L80" s="7" t="n">
        <f aca="false">ABS(B80-K80)</f>
        <v>2.4</v>
      </c>
    </row>
    <row r="81" customFormat="false" ht="15" hidden="false" customHeight="false" outlineLevel="0" collapsed="false">
      <c r="A81" s="0" t="n">
        <v>80</v>
      </c>
      <c r="B81" s="6" t="n">
        <f aca="false">IF(MOD(A81,2)=0,5,1)</f>
        <v>5</v>
      </c>
      <c r="C81" s="7" t="n">
        <f aca="false">C80*(1-Annahmen!$B$13)+Annahmen!$B$15*(1+(B81-3)/2*Annahmen!$B$16)*(1+Annahmen!$B$25*(L81-Annahmen!$B$26))</f>
        <v>1044.83709374849</v>
      </c>
      <c r="D81" s="7" t="n">
        <f aca="false">MIN(100,MAX(0,D80-Annahmen!$B$17*(B81-3)-Annahmen!$B$14*(D80-50)+Annahmen!$B$27*(L81-Annahmen!$B$26)))</f>
        <v>98</v>
      </c>
      <c r="E81" s="7" t="n">
        <f aca="false">E80+Annahmen!$B$12*(C81*Annahmen!$B$11*(D81/100)-E80)</f>
        <v>303.598969668767</v>
      </c>
      <c r="F81" s="7" t="n">
        <f aca="false">C81*Annahmen!$B$10*(D81/100)</f>
        <v>51.1970175936761</v>
      </c>
      <c r="G81" s="7" t="n">
        <f aca="false">E81*Annahmen!$B$9</f>
        <v>607.197939337533</v>
      </c>
      <c r="H81" s="7" t="n">
        <f aca="false">Annahmen!$B$18*Annahmen!$B$20*Annahmen!$B$19+Annahmen!$B$21+C81*Annahmen!$B$22</f>
        <v>97.4483709374849</v>
      </c>
      <c r="I81" s="7" t="n">
        <f aca="false">F81+G81-H81</f>
        <v>560.946585993725</v>
      </c>
      <c r="J81" s="7" t="n">
        <f aca="false">J80+I81</f>
        <v>27399.9113438503</v>
      </c>
      <c r="K81" s="7" t="n">
        <f aca="false">AVERAGE(B76:B80)</f>
        <v>2.6</v>
      </c>
      <c r="L81" s="7" t="n">
        <f aca="false">ABS(B81-K81)</f>
        <v>2.4</v>
      </c>
    </row>
    <row r="82" customFormat="false" ht="15" hidden="false" customHeight="false" outlineLevel="0" collapsed="false">
      <c r="A82" s="0" t="n">
        <v>81</v>
      </c>
      <c r="B82" s="6" t="n">
        <f aca="false">IF(MOD(A82,2)=0,5,1)</f>
        <v>1</v>
      </c>
      <c r="C82" s="7" t="n">
        <f aca="false">C81*(1-Annahmen!$B$13)+Annahmen!$B$15*(1+(B82-3)/2*Annahmen!$B$16)*(1+Annahmen!$B$25*(L82-Annahmen!$B$26))</f>
        <v>1042.39198093604</v>
      </c>
      <c r="D82" s="7" t="n">
        <f aca="false">MIN(100,MAX(0,D81-Annahmen!$B$17*(B82-3)-Annahmen!$B$14*(D81-50)+Annahmen!$B$27*(L82-Annahmen!$B$26)))</f>
        <v>100</v>
      </c>
      <c r="E82" s="7" t="n">
        <f aca="false">E81+Annahmen!$B$12*(C82*Annahmen!$B$11*(D82/100)-E81)</f>
        <v>304.966763360573</v>
      </c>
      <c r="F82" s="7" t="n">
        <f aca="false">C82*Annahmen!$B$10*(D82/100)</f>
        <v>52.1195990468018</v>
      </c>
      <c r="G82" s="7" t="n">
        <f aca="false">E82*Annahmen!$B$9</f>
        <v>609.933526721147</v>
      </c>
      <c r="H82" s="7" t="n">
        <f aca="false">Annahmen!$B$18*Annahmen!$B$20*Annahmen!$B$19+Annahmen!$B$21+C82*Annahmen!$B$22</f>
        <v>97.4239198093604</v>
      </c>
      <c r="I82" s="7" t="n">
        <f aca="false">F82+G82-H82</f>
        <v>564.629205958588</v>
      </c>
      <c r="J82" s="7" t="n">
        <f aca="false">J81+I82</f>
        <v>27964.5405498089</v>
      </c>
      <c r="K82" s="7" t="n">
        <f aca="false">AVERAGE(B77:B81)</f>
        <v>3.4</v>
      </c>
      <c r="L82" s="7" t="n">
        <f aca="false">ABS(B82-K82)</f>
        <v>2.4</v>
      </c>
    </row>
    <row r="83" customFormat="false" ht="15" hidden="false" customHeight="false" outlineLevel="0" collapsed="false">
      <c r="A83" s="0" t="n">
        <v>82</v>
      </c>
      <c r="B83" s="6" t="n">
        <f aca="false">IF(MOD(A83,2)=0,5,1)</f>
        <v>5</v>
      </c>
      <c r="C83" s="7" t="n">
        <f aca="false">C82*(1-Annahmen!$B$13)+Annahmen!$B$15*(1+(B83-3)/2*Annahmen!$B$16)*(1+Annahmen!$B$25*(L83-Annahmen!$B$26))</f>
        <v>1050.22022150795</v>
      </c>
      <c r="D83" s="7" t="n">
        <f aca="false">MIN(100,MAX(0,D82-Annahmen!$B$17*(B83-3)-Annahmen!$B$14*(D82-50)+Annahmen!$B$27*(L83-Annahmen!$B$26)))</f>
        <v>98</v>
      </c>
      <c r="E83" s="7" t="n">
        <f aca="false">E82+Annahmen!$B$12*(C83*Annahmen!$B$11*(D83/100)-E82)</f>
        <v>305.536460624988</v>
      </c>
      <c r="F83" s="7" t="n">
        <f aca="false">C83*Annahmen!$B$10*(D83/100)</f>
        <v>51.4607908538898</v>
      </c>
      <c r="G83" s="7" t="n">
        <f aca="false">E83*Annahmen!$B$9</f>
        <v>611.072921249976</v>
      </c>
      <c r="H83" s="7" t="n">
        <f aca="false">Annahmen!$B$18*Annahmen!$B$20*Annahmen!$B$19+Annahmen!$B$21+C83*Annahmen!$B$22</f>
        <v>97.5022022150796</v>
      </c>
      <c r="I83" s="7" t="n">
        <f aca="false">F83+G83-H83</f>
        <v>565.031509888786</v>
      </c>
      <c r="J83" s="7" t="n">
        <f aca="false">J82+I83</f>
        <v>28529.5720596976</v>
      </c>
      <c r="K83" s="7" t="n">
        <f aca="false">AVERAGE(B78:B82)</f>
        <v>2.6</v>
      </c>
      <c r="L83" s="7" t="n">
        <f aca="false">ABS(B83-K83)</f>
        <v>2.4</v>
      </c>
    </row>
    <row r="84" customFormat="false" ht="15" hidden="false" customHeight="false" outlineLevel="0" collapsed="false">
      <c r="A84" s="0" t="n">
        <v>83</v>
      </c>
      <c r="B84" s="6" t="n">
        <f aca="false">IF(MOD(A84,2)=0,5,1)</f>
        <v>1</v>
      </c>
      <c r="C84" s="7" t="n">
        <f aca="false">C83*(1-Annahmen!$B$13)+Annahmen!$B$15*(1+(B84-3)/2*Annahmen!$B$16)*(1+Annahmen!$B$25*(L84-Annahmen!$B$26))</f>
        <v>1047.61361486272</v>
      </c>
      <c r="D84" s="7" t="n">
        <f aca="false">MIN(100,MAX(0,D83-Annahmen!$B$17*(B84-3)-Annahmen!$B$14*(D83-50)+Annahmen!$B$27*(L84-Annahmen!$B$26)))</f>
        <v>100</v>
      </c>
      <c r="E84" s="7" t="n">
        <f aca="false">E83+Annahmen!$B$12*(C84*Annahmen!$B$11*(D84/100)-E83)</f>
        <v>306.848604200062</v>
      </c>
      <c r="F84" s="7" t="n">
        <f aca="false">C84*Annahmen!$B$10*(D84/100)</f>
        <v>52.3806807431358</v>
      </c>
      <c r="G84" s="7" t="n">
        <f aca="false">E84*Annahmen!$B$9</f>
        <v>613.697208400124</v>
      </c>
      <c r="H84" s="7" t="n">
        <f aca="false">Annahmen!$B$18*Annahmen!$B$20*Annahmen!$B$19+Annahmen!$B$21+C84*Annahmen!$B$22</f>
        <v>97.4761361486272</v>
      </c>
      <c r="I84" s="7" t="n">
        <f aca="false">F84+G84-H84</f>
        <v>568.601752994633</v>
      </c>
      <c r="J84" s="7" t="n">
        <f aca="false">J83+I84</f>
        <v>29098.1738126923</v>
      </c>
      <c r="K84" s="7" t="n">
        <f aca="false">AVERAGE(B79:B83)</f>
        <v>3.4</v>
      </c>
      <c r="L84" s="7" t="n">
        <f aca="false">ABS(B84-K84)</f>
        <v>2.4</v>
      </c>
    </row>
    <row r="85" customFormat="false" ht="15" hidden="false" customHeight="false" outlineLevel="0" collapsed="false">
      <c r="A85" s="0" t="n">
        <v>84</v>
      </c>
      <c r="B85" s="6" t="n">
        <f aca="false">IF(MOD(A85,2)=0,5,1)</f>
        <v>5</v>
      </c>
      <c r="C85" s="7" t="n">
        <f aca="false">C84*(1-Annahmen!$B$13)+Annahmen!$B$15*(1+(B85-3)/2*Annahmen!$B$16)*(1+Annahmen!$B$25*(L85-Annahmen!$B$26))</f>
        <v>1055.28520641683</v>
      </c>
      <c r="D85" s="7" t="n">
        <f aca="false">MIN(100,MAX(0,D84-Annahmen!$B$17*(B85-3)-Annahmen!$B$14*(D84-50)+Annahmen!$B$27*(L85-Annahmen!$B$26)))</f>
        <v>98</v>
      </c>
      <c r="E85" s="7" t="n">
        <f aca="false">E84+Annahmen!$B$12*(C85*Annahmen!$B$11*(D85/100)-E84)</f>
        <v>307.359391173035</v>
      </c>
      <c r="F85" s="7" t="n">
        <f aca="false">C85*Annahmen!$B$10*(D85/100)</f>
        <v>51.7089751144249</v>
      </c>
      <c r="G85" s="7" t="n">
        <f aca="false">E85*Annahmen!$B$9</f>
        <v>614.718782346071</v>
      </c>
      <c r="H85" s="7" t="n">
        <f aca="false">Annahmen!$B$18*Annahmen!$B$20*Annahmen!$B$19+Annahmen!$B$21+C85*Annahmen!$B$22</f>
        <v>97.5528520641684</v>
      </c>
      <c r="I85" s="7" t="n">
        <f aca="false">F85+G85-H85</f>
        <v>568.874905396327</v>
      </c>
      <c r="J85" s="7" t="n">
        <f aca="false">J84+I85</f>
        <v>29667.0487180886</v>
      </c>
      <c r="K85" s="7" t="n">
        <f aca="false">AVERAGE(B80:B84)</f>
        <v>2.6</v>
      </c>
      <c r="L85" s="7" t="n">
        <f aca="false">ABS(B85-K85)</f>
        <v>2.4</v>
      </c>
    </row>
    <row r="86" customFormat="false" ht="15" hidden="false" customHeight="false" outlineLevel="0" collapsed="false">
      <c r="A86" s="0" t="n">
        <v>85</v>
      </c>
      <c r="B86" s="6" t="n">
        <f aca="false">IF(MOD(A86,2)=0,5,1)</f>
        <v>1</v>
      </c>
      <c r="C86" s="7" t="n">
        <f aca="false">C85*(1-Annahmen!$B$13)+Annahmen!$B$15*(1+(B86-3)/2*Annahmen!$B$16)*(1+Annahmen!$B$25*(L86-Annahmen!$B$26))</f>
        <v>1052.52665022433</v>
      </c>
      <c r="D86" s="7" t="n">
        <f aca="false">MIN(100,MAX(0,D85-Annahmen!$B$17*(B86-3)-Annahmen!$B$14*(D85-50)+Annahmen!$B$27*(L86-Annahmen!$B$26)))</f>
        <v>100</v>
      </c>
      <c r="E86" s="7" t="n">
        <f aca="false">E85+Annahmen!$B$12*(C86*Annahmen!$B$11*(D86/100)-E85)</f>
        <v>308.619181757175</v>
      </c>
      <c r="F86" s="7" t="n">
        <f aca="false">C86*Annahmen!$B$10*(D86/100)</f>
        <v>52.6263325112165</v>
      </c>
      <c r="G86" s="7" t="n">
        <f aca="false">E86*Annahmen!$B$9</f>
        <v>617.23836351435</v>
      </c>
      <c r="H86" s="7" t="n">
        <f aca="false">Annahmen!$B$18*Annahmen!$B$20*Annahmen!$B$19+Annahmen!$B$21+C86*Annahmen!$B$22</f>
        <v>97.5252665022433</v>
      </c>
      <c r="I86" s="7" t="n">
        <f aca="false">F86+G86-H86</f>
        <v>572.339429523323</v>
      </c>
      <c r="J86" s="7" t="n">
        <f aca="false">J85+I86</f>
        <v>30239.3881476119</v>
      </c>
      <c r="K86" s="7" t="n">
        <f aca="false">AVERAGE(B81:B85)</f>
        <v>3.4</v>
      </c>
      <c r="L86" s="7" t="n">
        <f aca="false">ABS(B86-K86)</f>
        <v>2.4</v>
      </c>
    </row>
    <row r="87" customFormat="false" ht="15" hidden="false" customHeight="false" outlineLevel="0" collapsed="false">
      <c r="A87" s="0" t="n">
        <v>86</v>
      </c>
      <c r="B87" s="6" t="n">
        <f aca="false">IF(MOD(A87,2)=0,5,1)</f>
        <v>5</v>
      </c>
      <c r="C87" s="7" t="n">
        <f aca="false">C86*(1-Annahmen!$B$13)+Annahmen!$B$15*(1+(B87-3)/2*Annahmen!$B$16)*(1+Annahmen!$B$25*(L87-Annahmen!$B$26))</f>
        <v>1060.0508507176</v>
      </c>
      <c r="D87" s="7" t="n">
        <f aca="false">MIN(100,MAX(0,D86-Annahmen!$B$17*(B87-3)-Annahmen!$B$14*(D86-50)+Annahmen!$B$27*(L87-Annahmen!$B$26)))</f>
        <v>98</v>
      </c>
      <c r="E87" s="7" t="n">
        <f aca="false">E86+Annahmen!$B$12*(C87*Annahmen!$B$11*(D87/100)-E86)</f>
        <v>309.074547010245</v>
      </c>
      <c r="F87" s="7" t="n">
        <f aca="false">C87*Annahmen!$B$10*(D87/100)</f>
        <v>51.9424916851624</v>
      </c>
      <c r="G87" s="7" t="n">
        <f aca="false">E87*Annahmen!$B$9</f>
        <v>618.14909402049</v>
      </c>
      <c r="H87" s="7" t="n">
        <f aca="false">Annahmen!$B$18*Annahmen!$B$20*Annahmen!$B$19+Annahmen!$B$21+C87*Annahmen!$B$22</f>
        <v>97.600508507176</v>
      </c>
      <c r="I87" s="7" t="n">
        <f aca="false">F87+G87-H87</f>
        <v>572.491077198476</v>
      </c>
      <c r="J87" s="7" t="n">
        <f aca="false">J86+I87</f>
        <v>30811.8792248104</v>
      </c>
      <c r="K87" s="7" t="n">
        <f aca="false">AVERAGE(B82:B86)</f>
        <v>2.6</v>
      </c>
      <c r="L87" s="7" t="n">
        <f aca="false">ABS(B87-K87)</f>
        <v>2.4</v>
      </c>
    </row>
    <row r="88" customFormat="false" ht="15" hidden="false" customHeight="false" outlineLevel="0" collapsed="false">
      <c r="A88" s="0" t="n">
        <v>87</v>
      </c>
      <c r="B88" s="6" t="n">
        <f aca="false">IF(MOD(A88,2)=0,5,1)</f>
        <v>1</v>
      </c>
      <c r="C88" s="7" t="n">
        <f aca="false">C87*(1-Annahmen!$B$13)+Annahmen!$B$15*(1+(B88-3)/2*Annahmen!$B$16)*(1+Annahmen!$B$25*(L88-Annahmen!$B$26))</f>
        <v>1057.14932519607</v>
      </c>
      <c r="D88" s="7" t="n">
        <f aca="false">MIN(100,MAX(0,D87-Annahmen!$B$17*(B88-3)-Annahmen!$B$14*(D87-50)+Annahmen!$B$27*(L88-Annahmen!$B$26)))</f>
        <v>100</v>
      </c>
      <c r="E88" s="7" t="n">
        <f aca="false">E87+Annahmen!$B$12*(C88*Annahmen!$B$11*(D88/100)-E87)</f>
        <v>310.285084592531</v>
      </c>
      <c r="F88" s="7" t="n">
        <f aca="false">C88*Annahmen!$B$10*(D88/100)</f>
        <v>52.8574662598036</v>
      </c>
      <c r="G88" s="7" t="n">
        <f aca="false">E88*Annahmen!$B$9</f>
        <v>620.570169185063</v>
      </c>
      <c r="H88" s="7" t="n">
        <f aca="false">Annahmen!$B$18*Annahmen!$B$20*Annahmen!$B$19+Annahmen!$B$21+C88*Annahmen!$B$22</f>
        <v>97.5714932519607</v>
      </c>
      <c r="I88" s="7" t="n">
        <f aca="false">F88+G88-H88</f>
        <v>575.856142192905</v>
      </c>
      <c r="J88" s="7" t="n">
        <f aca="false">J87+I88</f>
        <v>31387.7353670033</v>
      </c>
      <c r="K88" s="7" t="n">
        <f aca="false">AVERAGE(B83:B87)</f>
        <v>3.4</v>
      </c>
      <c r="L88" s="7" t="n">
        <f aca="false">ABS(B88-K88)</f>
        <v>2.4</v>
      </c>
    </row>
    <row r="89" customFormat="false" ht="15" hidden="false" customHeight="false" outlineLevel="0" collapsed="false">
      <c r="A89" s="0" t="n">
        <v>88</v>
      </c>
      <c r="B89" s="6" t="n">
        <f aca="false">IF(MOD(A89,2)=0,5,1)</f>
        <v>5</v>
      </c>
      <c r="C89" s="7" t="n">
        <f aca="false">C88*(1-Annahmen!$B$13)+Annahmen!$B$15*(1+(B89-3)/2*Annahmen!$B$16)*(1+Annahmen!$B$25*(L89-Annahmen!$B$26))</f>
        <v>1064.53484544019</v>
      </c>
      <c r="D89" s="7" t="n">
        <f aca="false">MIN(100,MAX(0,D88-Annahmen!$B$17*(B89-3)-Annahmen!$B$14*(D88-50)+Annahmen!$B$27*(L89-Annahmen!$B$26)))</f>
        <v>98</v>
      </c>
      <c r="E89" s="7" t="n">
        <f aca="false">E88+Annahmen!$B$12*(C89*Annahmen!$B$11*(D89/100)-E88)</f>
        <v>310.688308587564</v>
      </c>
      <c r="F89" s="7" t="n">
        <f aca="false">C89*Annahmen!$B$10*(D89/100)</f>
        <v>52.1622074265693</v>
      </c>
      <c r="G89" s="7" t="n">
        <f aca="false">E89*Annahmen!$B$9</f>
        <v>621.376617175128</v>
      </c>
      <c r="H89" s="7" t="n">
        <f aca="false">Annahmen!$B$18*Annahmen!$B$20*Annahmen!$B$19+Annahmen!$B$21+C89*Annahmen!$B$22</f>
        <v>97.6453484544019</v>
      </c>
      <c r="I89" s="7" t="n">
        <f aca="false">F89+G89-H89</f>
        <v>575.893476147295</v>
      </c>
      <c r="J89" s="7" t="n">
        <f aca="false">J88+I89</f>
        <v>31963.6288431506</v>
      </c>
      <c r="K89" s="7" t="n">
        <f aca="false">AVERAGE(B84:B88)</f>
        <v>2.6</v>
      </c>
      <c r="L89" s="7" t="n">
        <f aca="false">ABS(B89-K89)</f>
        <v>2.4</v>
      </c>
    </row>
    <row r="90" customFormat="false" ht="15" hidden="false" customHeight="false" outlineLevel="0" collapsed="false">
      <c r="A90" s="0" t="n">
        <v>89</v>
      </c>
      <c r="B90" s="6" t="n">
        <f aca="false">IF(MOD(A90,2)=0,5,1)</f>
        <v>1</v>
      </c>
      <c r="C90" s="7" t="n">
        <f aca="false">C89*(1-Annahmen!$B$13)+Annahmen!$B$15*(1+(B90-3)/2*Annahmen!$B$16)*(1+Annahmen!$B$25*(L90-Annahmen!$B$26))</f>
        <v>1061.49880007698</v>
      </c>
      <c r="D90" s="7" t="n">
        <f aca="false">MIN(100,MAX(0,D89-Annahmen!$B$17*(B90-3)-Annahmen!$B$14*(D89-50)+Annahmen!$B$27*(L90-Annahmen!$B$26)))</f>
        <v>100</v>
      </c>
      <c r="E90" s="7" t="n">
        <f aca="false">E89+Annahmen!$B$12*(C90*Annahmen!$B$11*(D90/100)-E89)</f>
        <v>311.852508302894</v>
      </c>
      <c r="F90" s="7" t="n">
        <f aca="false">C90*Annahmen!$B$10*(D90/100)</f>
        <v>53.0749400038492</v>
      </c>
      <c r="G90" s="7" t="n">
        <f aca="false">E90*Annahmen!$B$9</f>
        <v>623.705016605787</v>
      </c>
      <c r="H90" s="7" t="n">
        <f aca="false">Annahmen!$B$18*Annahmen!$B$20*Annahmen!$B$19+Annahmen!$B$21+C90*Annahmen!$B$22</f>
        <v>97.6149880007698</v>
      </c>
      <c r="I90" s="7" t="n">
        <f aca="false">F90+G90-H90</f>
        <v>579.164968608867</v>
      </c>
      <c r="J90" s="7" t="n">
        <f aca="false">J89+I90</f>
        <v>32542.7938117595</v>
      </c>
      <c r="K90" s="7" t="n">
        <f aca="false">AVERAGE(B85:B89)</f>
        <v>3.4</v>
      </c>
      <c r="L90" s="7" t="n">
        <f aca="false">ABS(B90-K90)</f>
        <v>2.4</v>
      </c>
    </row>
    <row r="91" customFormat="false" ht="15" hidden="false" customHeight="false" outlineLevel="0" collapsed="false">
      <c r="A91" s="0" t="n">
        <v>90</v>
      </c>
      <c r="B91" s="6" t="n">
        <f aca="false">IF(MOD(A91,2)=0,5,1)</f>
        <v>5</v>
      </c>
      <c r="C91" s="7" t="n">
        <f aca="false">C90*(1-Annahmen!$B$13)+Annahmen!$B$15*(1+(B91-3)/2*Annahmen!$B$16)*(1+Annahmen!$B$25*(L91-Annahmen!$B$26))</f>
        <v>1068.75383607467</v>
      </c>
      <c r="D91" s="7" t="n">
        <f aca="false">MIN(100,MAX(0,D90-Annahmen!$B$17*(B91-3)-Annahmen!$B$14*(D90-50)+Annahmen!$B$27*(L91-Annahmen!$B$26)))</f>
        <v>98</v>
      </c>
      <c r="E91" s="7" t="n">
        <f aca="false">E90+Annahmen!$B$12*(C91*Annahmen!$B$11*(D91/100)-E90)</f>
        <v>312.206676228353</v>
      </c>
      <c r="F91" s="7" t="n">
        <f aca="false">C91*Annahmen!$B$10*(D91/100)</f>
        <v>52.368937967659</v>
      </c>
      <c r="G91" s="7" t="n">
        <f aca="false">E91*Annahmen!$B$9</f>
        <v>624.413352456705</v>
      </c>
      <c r="H91" s="7" t="n">
        <f aca="false">Annahmen!$B$18*Annahmen!$B$20*Annahmen!$B$19+Annahmen!$B$21+C91*Annahmen!$B$22</f>
        <v>97.6875383607467</v>
      </c>
      <c r="I91" s="7" t="n">
        <f aca="false">F91+G91-H91</f>
        <v>579.094752063618</v>
      </c>
      <c r="J91" s="7" t="n">
        <f aca="false">J90+I91</f>
        <v>33121.8885638231</v>
      </c>
      <c r="K91" s="7" t="n">
        <f aca="false">AVERAGE(B86:B90)</f>
        <v>2.6</v>
      </c>
      <c r="L91" s="7" t="n">
        <f aca="false">ABS(B91-K91)</f>
        <v>2.4</v>
      </c>
    </row>
    <row r="92" customFormat="false" ht="15" hidden="false" customHeight="false" outlineLevel="0" collapsed="false">
      <c r="A92" s="0" t="n">
        <v>91</v>
      </c>
      <c r="B92" s="6" t="n">
        <f aca="false">IF(MOD(A92,2)=0,5,1)</f>
        <v>1</v>
      </c>
      <c r="C92" s="7" t="n">
        <f aca="false">C91*(1-Annahmen!$B$13)+Annahmen!$B$15*(1+(B92-3)/2*Annahmen!$B$16)*(1+Annahmen!$B$25*(L92-Annahmen!$B$26))</f>
        <v>1065.59122099243</v>
      </c>
      <c r="D92" s="7" t="n">
        <f aca="false">MIN(100,MAX(0,D91-Annahmen!$B$17*(B92-3)-Annahmen!$B$14*(D91-50)+Annahmen!$B$27*(L92-Annahmen!$B$26)))</f>
        <v>100</v>
      </c>
      <c r="E92" s="7" t="n">
        <f aca="false">E91+Annahmen!$B$12*(C92*Annahmen!$B$11*(D92/100)-E91)</f>
        <v>313.327279738759</v>
      </c>
      <c r="F92" s="7" t="n">
        <f aca="false">C92*Annahmen!$B$10*(D92/100)</f>
        <v>53.2795610496217</v>
      </c>
      <c r="G92" s="7" t="n">
        <f aca="false">E92*Annahmen!$B$9</f>
        <v>626.654559477519</v>
      </c>
      <c r="H92" s="7" t="n">
        <f aca="false">Annahmen!$B$18*Annahmen!$B$20*Annahmen!$B$19+Annahmen!$B$21+C92*Annahmen!$B$22</f>
        <v>97.6559122099243</v>
      </c>
      <c r="I92" s="7" t="n">
        <f aca="false">F92+G92-H92</f>
        <v>582.278208317216</v>
      </c>
      <c r="J92" s="7" t="n">
        <f aca="false">J91+I92</f>
        <v>33704.1667721403</v>
      </c>
      <c r="K92" s="7" t="n">
        <f aca="false">AVERAGE(B87:B91)</f>
        <v>3.4</v>
      </c>
      <c r="L92" s="7" t="n">
        <f aca="false">ABS(B92-K92)</f>
        <v>2.4</v>
      </c>
    </row>
    <row r="93" customFormat="false" ht="15" hidden="false" customHeight="false" outlineLevel="0" collapsed="false">
      <c r="A93" s="0" t="n">
        <v>92</v>
      </c>
      <c r="B93" s="6" t="n">
        <f aca="false">IF(MOD(A93,2)=0,5,1)</f>
        <v>5</v>
      </c>
      <c r="C93" s="7" t="n">
        <f aca="false">C92*(1-Annahmen!$B$13)+Annahmen!$B$15*(1+(B93-3)/2*Annahmen!$B$16)*(1+Annahmen!$B$25*(L93-Annahmen!$B$26))</f>
        <v>1072.72348436266</v>
      </c>
      <c r="D93" s="7" t="n">
        <f aca="false">MIN(100,MAX(0,D92-Annahmen!$B$17*(B93-3)-Annahmen!$B$14*(D92-50)+Annahmen!$B$27*(L93-Annahmen!$B$26)))</f>
        <v>98</v>
      </c>
      <c r="E93" s="7" t="n">
        <f aca="false">E92+Annahmen!$B$12*(C93*Annahmen!$B$11*(D93/100)-E92)</f>
        <v>313.635293438339</v>
      </c>
      <c r="F93" s="7" t="n">
        <f aca="false">C93*Annahmen!$B$10*(D93/100)</f>
        <v>52.5634507337704</v>
      </c>
      <c r="G93" s="7" t="n">
        <f aca="false">E93*Annahmen!$B$9</f>
        <v>627.270586876678</v>
      </c>
      <c r="H93" s="7" t="n">
        <f aca="false">Annahmen!$B$18*Annahmen!$B$20*Annahmen!$B$19+Annahmen!$B$21+C93*Annahmen!$B$22</f>
        <v>97.7272348436266</v>
      </c>
      <c r="I93" s="7" t="n">
        <f aca="false">F93+G93-H93</f>
        <v>582.106802766821</v>
      </c>
      <c r="J93" s="7" t="n">
        <f aca="false">J92+I93</f>
        <v>34286.2735749071</v>
      </c>
      <c r="K93" s="7" t="n">
        <f aca="false">AVERAGE(B88:B92)</f>
        <v>2.6</v>
      </c>
      <c r="L93" s="7" t="n">
        <f aca="false">ABS(B93-K93)</f>
        <v>2.4</v>
      </c>
    </row>
    <row r="94" customFormat="false" ht="15" hidden="false" customHeight="false" outlineLevel="0" collapsed="false">
      <c r="A94" s="0" t="n">
        <v>93</v>
      </c>
      <c r="B94" s="6" t="n">
        <f aca="false">IF(MOD(A94,2)=0,5,1)</f>
        <v>1</v>
      </c>
      <c r="C94" s="7" t="n">
        <f aca="false">C93*(1-Annahmen!$B$13)+Annahmen!$B$15*(1+(B94-3)/2*Annahmen!$B$16)*(1+Annahmen!$B$25*(L94-Annahmen!$B$26))</f>
        <v>1069.44177983178</v>
      </c>
      <c r="D94" s="7" t="n">
        <f aca="false">MIN(100,MAX(0,D93-Annahmen!$B$17*(B94-3)-Annahmen!$B$14*(D93-50)+Annahmen!$B$27*(L94-Annahmen!$B$26)))</f>
        <v>100</v>
      </c>
      <c r="E94" s="7" t="n">
        <f aca="false">E93+Annahmen!$B$12*(C94*Annahmen!$B$11*(D94/100)-E93)</f>
        <v>314.714879515018</v>
      </c>
      <c r="F94" s="7" t="n">
        <f aca="false">C94*Annahmen!$B$10*(D94/100)</f>
        <v>53.4720889915891</v>
      </c>
      <c r="G94" s="7" t="n">
        <f aca="false">E94*Annahmen!$B$9</f>
        <v>629.429759030036</v>
      </c>
      <c r="H94" s="7" t="n">
        <f aca="false">Annahmen!$B$18*Annahmen!$B$20*Annahmen!$B$19+Annahmen!$B$21+C94*Annahmen!$B$22</f>
        <v>97.6944177983178</v>
      </c>
      <c r="I94" s="7" t="n">
        <f aca="false">F94+G94-H94</f>
        <v>585.207430223308</v>
      </c>
      <c r="J94" s="7" t="n">
        <f aca="false">J93+I94</f>
        <v>34871.4810051304</v>
      </c>
      <c r="K94" s="7" t="n">
        <f aca="false">AVERAGE(B89:B93)</f>
        <v>3.4</v>
      </c>
      <c r="L94" s="7" t="n">
        <f aca="false">ABS(B94-K94)</f>
        <v>2.4</v>
      </c>
    </row>
    <row r="95" customFormat="false" ht="15" hidden="false" customHeight="false" outlineLevel="0" collapsed="false">
      <c r="A95" s="0" t="n">
        <v>94</v>
      </c>
      <c r="B95" s="6" t="n">
        <f aca="false">IF(MOD(A95,2)=0,5,1)</f>
        <v>5</v>
      </c>
      <c r="C95" s="7" t="n">
        <f aca="false">C94*(1-Annahmen!$B$13)+Annahmen!$B$15*(1+(B95-3)/2*Annahmen!$B$16)*(1+Annahmen!$B$25*(L95-Annahmen!$B$26))</f>
        <v>1076.45852643683</v>
      </c>
      <c r="D95" s="7" t="n">
        <f aca="false">MIN(100,MAX(0,D94-Annahmen!$B$17*(B95-3)-Annahmen!$B$14*(D94-50)+Annahmen!$B$27*(L95-Annahmen!$B$26)))</f>
        <v>98</v>
      </c>
      <c r="E95" s="7" t="n">
        <f aca="false">E94+Annahmen!$B$12*(C95*Annahmen!$B$11*(D95/100)-E94)</f>
        <v>314.979468603629</v>
      </c>
      <c r="F95" s="7" t="n">
        <f aca="false">C95*Annahmen!$B$10*(D95/100)</f>
        <v>52.7464677954046</v>
      </c>
      <c r="G95" s="7" t="n">
        <f aca="false">E95*Annahmen!$B$9</f>
        <v>629.958937207259</v>
      </c>
      <c r="H95" s="7" t="n">
        <f aca="false">Annahmen!$B$18*Annahmen!$B$20*Annahmen!$B$19+Annahmen!$B$21+C95*Annahmen!$B$22</f>
        <v>97.7645852643683</v>
      </c>
      <c r="I95" s="7" t="n">
        <f aca="false">F95+G95-H95</f>
        <v>584.940819738295</v>
      </c>
      <c r="J95" s="7" t="n">
        <f aca="false">J94+I95</f>
        <v>35456.4218248687</v>
      </c>
      <c r="K95" s="7" t="n">
        <f aca="false">AVERAGE(B90:B94)</f>
        <v>2.6</v>
      </c>
      <c r="L95" s="7" t="n">
        <f aca="false">ABS(B95-K95)</f>
        <v>2.4</v>
      </c>
    </row>
    <row r="96" customFormat="false" ht="15" hidden="false" customHeight="false" outlineLevel="0" collapsed="false">
      <c r="A96" s="0" t="n">
        <v>95</v>
      </c>
      <c r="B96" s="6" t="n">
        <f aca="false">IF(MOD(A96,2)=0,5,1)</f>
        <v>1</v>
      </c>
      <c r="C96" s="7" t="n">
        <f aca="false">C95*(1-Annahmen!$B$13)+Annahmen!$B$15*(1+(B96-3)/2*Annahmen!$B$16)*(1+Annahmen!$B$25*(L96-Annahmen!$B$26))</f>
        <v>1073.06477064372</v>
      </c>
      <c r="D96" s="7" t="n">
        <f aca="false">MIN(100,MAX(0,D95-Annahmen!$B$17*(B96-3)-Annahmen!$B$14*(D95-50)+Annahmen!$B$27*(L96-Annahmen!$B$26)))</f>
        <v>100</v>
      </c>
      <c r="E96" s="7" t="n">
        <f aca="false">E95+Annahmen!$B$12*(C96*Annahmen!$B$11*(D96/100)-E95)</f>
        <v>316.020462992053</v>
      </c>
      <c r="F96" s="7" t="n">
        <f aca="false">C96*Annahmen!$B$10*(D96/100)</f>
        <v>53.6532385321862</v>
      </c>
      <c r="G96" s="7" t="n">
        <f aca="false">E96*Annahmen!$B$9</f>
        <v>632.040925984105</v>
      </c>
      <c r="H96" s="7" t="n">
        <f aca="false">Annahmen!$B$18*Annahmen!$B$20*Annahmen!$B$19+Annahmen!$B$21+C96*Annahmen!$B$22</f>
        <v>97.7306477064372</v>
      </c>
      <c r="I96" s="7" t="n">
        <f aca="false">F96+G96-H96</f>
        <v>587.963516809854</v>
      </c>
      <c r="J96" s="7" t="n">
        <f aca="false">J95+I96</f>
        <v>36044.3853416786</v>
      </c>
      <c r="K96" s="7" t="n">
        <f aca="false">AVERAGE(B91:B95)</f>
        <v>3.4</v>
      </c>
      <c r="L96" s="7" t="n">
        <f aca="false">ABS(B96-K96)</f>
        <v>2.4</v>
      </c>
    </row>
    <row r="97" customFormat="false" ht="15" hidden="false" customHeight="false" outlineLevel="0" collapsed="false">
      <c r="A97" s="0" t="n">
        <v>96</v>
      </c>
      <c r="B97" s="6" t="n">
        <f aca="false">IF(MOD(A97,2)=0,5,1)</f>
        <v>5</v>
      </c>
      <c r="C97" s="7" t="n">
        <f aca="false">C96*(1-Annahmen!$B$13)+Annahmen!$B$15*(1+(B97-3)/2*Annahmen!$B$16)*(1+Annahmen!$B$25*(L97-Annahmen!$B$26))</f>
        <v>1079.97282752441</v>
      </c>
      <c r="D97" s="7" t="n">
        <f aca="false">MIN(100,MAX(0,D96-Annahmen!$B$17*(B97-3)-Annahmen!$B$14*(D96-50)+Annahmen!$B$27*(L97-Annahmen!$B$26)))</f>
        <v>98</v>
      </c>
      <c r="E97" s="7" t="n">
        <f aca="false">E96+Annahmen!$B$12*(C97*Annahmen!$B$11*(D97/100)-E96)</f>
        <v>316.244195237071</v>
      </c>
      <c r="F97" s="7" t="n">
        <f aca="false">C97*Annahmen!$B$10*(D97/100)</f>
        <v>52.9186685486962</v>
      </c>
      <c r="G97" s="7" t="n">
        <f aca="false">E97*Annahmen!$B$9</f>
        <v>632.488390474142</v>
      </c>
      <c r="H97" s="7" t="n">
        <f aca="false">Annahmen!$B$18*Annahmen!$B$20*Annahmen!$B$19+Annahmen!$B$21+C97*Annahmen!$B$22</f>
        <v>97.7997282752441</v>
      </c>
      <c r="I97" s="7" t="n">
        <f aca="false">F97+G97-H97</f>
        <v>587.607330747595</v>
      </c>
      <c r="J97" s="7" t="n">
        <f aca="false">J96+I97</f>
        <v>36631.9926724262</v>
      </c>
      <c r="K97" s="7" t="n">
        <f aca="false">AVERAGE(B92:B96)</f>
        <v>2.6</v>
      </c>
      <c r="L97" s="7" t="n">
        <f aca="false">ABS(B97-K97)</f>
        <v>2.4</v>
      </c>
    </row>
    <row r="98" customFormat="false" ht="15" hidden="false" customHeight="false" outlineLevel="0" collapsed="false">
      <c r="A98" s="0" t="n">
        <v>97</v>
      </c>
      <c r="B98" s="6" t="n">
        <f aca="false">IF(MOD(A98,2)=0,5,1)</f>
        <v>1</v>
      </c>
      <c r="C98" s="7" t="n">
        <f aca="false">C97*(1-Annahmen!$B$13)+Annahmen!$B$15*(1+(B98-3)/2*Annahmen!$B$16)*(1+Annahmen!$B$25*(L98-Annahmen!$B$26))</f>
        <v>1076.47364269868</v>
      </c>
      <c r="D98" s="7" t="n">
        <f aca="false">MIN(100,MAX(0,D97-Annahmen!$B$17*(B98-3)-Annahmen!$B$14*(D97-50)+Annahmen!$B$27*(L98-Annahmen!$B$26)))</f>
        <v>100</v>
      </c>
      <c r="E98" s="7" t="n">
        <f aca="false">E97+Annahmen!$B$12*(C98*Annahmen!$B$11*(D98/100)-E97)</f>
        <v>317.248879872951</v>
      </c>
      <c r="F98" s="7" t="n">
        <f aca="false">C98*Annahmen!$B$10*(D98/100)</f>
        <v>53.823682134934</v>
      </c>
      <c r="G98" s="7" t="n">
        <f aca="false">E98*Annahmen!$B$9</f>
        <v>634.497759745902</v>
      </c>
      <c r="H98" s="7" t="n">
        <f aca="false">Annahmen!$B$18*Annahmen!$B$20*Annahmen!$B$19+Annahmen!$B$21+C98*Annahmen!$B$22</f>
        <v>97.7647364269868</v>
      </c>
      <c r="I98" s="7" t="n">
        <f aca="false">F98+G98-H98</f>
        <v>590.556705453849</v>
      </c>
      <c r="J98" s="7" t="n">
        <f aca="false">J97+I98</f>
        <v>37222.54937788</v>
      </c>
      <c r="K98" s="7" t="n">
        <f aca="false">AVERAGE(B93:B97)</f>
        <v>3.4</v>
      </c>
      <c r="L98" s="7" t="n">
        <f aca="false">ABS(B98-K98)</f>
        <v>2.4</v>
      </c>
    </row>
    <row r="99" customFormat="false" ht="15" hidden="false" customHeight="false" outlineLevel="0" collapsed="false">
      <c r="A99" s="0" t="n">
        <v>98</v>
      </c>
      <c r="B99" s="6" t="n">
        <f aca="false">IF(MOD(A99,2)=0,5,1)</f>
        <v>5</v>
      </c>
      <c r="C99" s="7" t="n">
        <f aca="false">C98*(1-Annahmen!$B$13)+Annahmen!$B$15*(1+(B99-3)/2*Annahmen!$B$16)*(1+Annahmen!$B$25*(L99-Annahmen!$B$26))</f>
        <v>1083.27943341772</v>
      </c>
      <c r="D99" s="7" t="n">
        <f aca="false">MIN(100,MAX(0,D98-Annahmen!$B$17*(B99-3)-Annahmen!$B$14*(D98-50)+Annahmen!$B$27*(L99-Annahmen!$B$26)))</f>
        <v>98</v>
      </c>
      <c r="E99" s="7" t="n">
        <f aca="false">E98+Annahmen!$B$12*(C99*Annahmen!$B$11*(D99/100)-E98)</f>
        <v>317.43417090573</v>
      </c>
      <c r="F99" s="7" t="n">
        <f aca="false">C99*Annahmen!$B$10*(D99/100)</f>
        <v>53.0806922374682</v>
      </c>
      <c r="G99" s="7" t="n">
        <f aca="false">E99*Annahmen!$B$9</f>
        <v>634.86834181146</v>
      </c>
      <c r="H99" s="7" t="n">
        <f aca="false">Annahmen!$B$18*Annahmen!$B$20*Annahmen!$B$19+Annahmen!$B$21+C99*Annahmen!$B$22</f>
        <v>97.8327943341772</v>
      </c>
      <c r="I99" s="7" t="n">
        <f aca="false">F99+G99-H99</f>
        <v>590.116239714751</v>
      </c>
      <c r="J99" s="7" t="n">
        <f aca="false">J98+I99</f>
        <v>37812.6656175948</v>
      </c>
      <c r="K99" s="7" t="n">
        <f aca="false">AVERAGE(B94:B98)</f>
        <v>2.6</v>
      </c>
      <c r="L99" s="7" t="n">
        <f aca="false">ABS(B99-K99)</f>
        <v>2.4</v>
      </c>
    </row>
    <row r="100" customFormat="false" ht="15" hidden="false" customHeight="false" outlineLevel="0" collapsed="false">
      <c r="A100" s="0" t="n">
        <v>99</v>
      </c>
      <c r="B100" s="6" t="n">
        <f aca="false">IF(MOD(A100,2)=0,5,1)</f>
        <v>1</v>
      </c>
      <c r="C100" s="7" t="n">
        <f aca="false">C99*(1-Annahmen!$B$13)+Annahmen!$B$15*(1+(B100-3)/2*Annahmen!$B$16)*(1+Annahmen!$B$25*(L100-Annahmen!$B$26))</f>
        <v>1079.68105041519</v>
      </c>
      <c r="D100" s="7" t="n">
        <f aca="false">MIN(100,MAX(0,D99-Annahmen!$B$17*(B100-3)-Annahmen!$B$14*(D99-50)+Annahmen!$B$27*(L100-Annahmen!$B$26)))</f>
        <v>100</v>
      </c>
      <c r="E100" s="7" t="n">
        <f aca="false">E99+Annahmen!$B$12*(C100*Annahmen!$B$11*(D100/100)-E99)</f>
        <v>318.404692538554</v>
      </c>
      <c r="F100" s="7" t="n">
        <f aca="false">C100*Annahmen!$B$10*(D100/100)</f>
        <v>53.9840525207594</v>
      </c>
      <c r="G100" s="7" t="n">
        <f aca="false">E100*Annahmen!$B$9</f>
        <v>636.809385077107</v>
      </c>
      <c r="H100" s="7" t="n">
        <f aca="false">Annahmen!$B$18*Annahmen!$B$20*Annahmen!$B$19+Annahmen!$B$21+C100*Annahmen!$B$22</f>
        <v>97.7968105041519</v>
      </c>
      <c r="I100" s="7" t="n">
        <f aca="false">F100+G100-H100</f>
        <v>592.996627093715</v>
      </c>
      <c r="J100" s="7" t="n">
        <f aca="false">J99+I100</f>
        <v>38405.6622446885</v>
      </c>
      <c r="K100" s="7" t="n">
        <f aca="false">AVERAGE(B95:B99)</f>
        <v>3.4</v>
      </c>
      <c r="L100" s="7" t="n">
        <f aca="false">ABS(B100-K100)</f>
        <v>2.4</v>
      </c>
    </row>
    <row r="101" customFormat="false" ht="15" hidden="false" customHeight="false" outlineLevel="0" collapsed="false">
      <c r="A101" s="0" t="n">
        <v>100</v>
      </c>
      <c r="B101" s="6" t="n">
        <f aca="false">IF(MOD(A101,2)=0,5,1)</f>
        <v>5</v>
      </c>
      <c r="C101" s="7" t="n">
        <f aca="false">C100*(1-Annahmen!$B$13)+Annahmen!$B$15*(1+(B101-3)/2*Annahmen!$B$16)*(1+Annahmen!$B$25*(L101-Annahmen!$B$26))</f>
        <v>1086.39061890273</v>
      </c>
      <c r="D101" s="7" t="n">
        <f aca="false">MIN(100,MAX(0,D100-Annahmen!$B$17*(B101-3)-Annahmen!$B$14*(D100-50)+Annahmen!$B$27*(L101-Annahmen!$B$26)))</f>
        <v>98</v>
      </c>
      <c r="E101" s="7" t="n">
        <f aca="false">E100+Annahmen!$B$12*(C101*Annahmen!$B$11*(D101/100)-E100)</f>
        <v>318.553814951381</v>
      </c>
      <c r="F101" s="7" t="n">
        <f aca="false">C101*Annahmen!$B$10*(D101/100)</f>
        <v>53.2331403262338</v>
      </c>
      <c r="G101" s="7" t="n">
        <f aca="false">E101*Annahmen!$B$9</f>
        <v>637.107629902762</v>
      </c>
      <c r="H101" s="7" t="n">
        <f aca="false">Annahmen!$B$18*Annahmen!$B$20*Annahmen!$B$19+Annahmen!$B$21+C101*Annahmen!$B$22</f>
        <v>97.8639061890273</v>
      </c>
      <c r="I101" s="7" t="n">
        <f aca="false">F101+G101-H101</f>
        <v>592.476864039969</v>
      </c>
      <c r="J101" s="7" t="n">
        <f aca="false">J100+I101</f>
        <v>38998.1391087285</v>
      </c>
      <c r="K101" s="7" t="n">
        <f aca="false">AVERAGE(B96:B100)</f>
        <v>2.6</v>
      </c>
      <c r="L101" s="7" t="n">
        <f aca="false">ABS(B101-K101)</f>
        <v>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60</v>
      </c>
    </row>
    <row r="3" customFormat="false" ht="15" hidden="false" customHeight="false" outlineLevel="0" collapsed="false">
      <c r="A3" s="5" t="s">
        <v>48</v>
      </c>
      <c r="B3" s="5" t="s">
        <v>61</v>
      </c>
      <c r="C3" s="5" t="s">
        <v>62</v>
      </c>
      <c r="D3" s="5" t="s">
        <v>63</v>
      </c>
    </row>
    <row r="4" customFormat="false" ht="15" hidden="false" customHeight="false" outlineLevel="0" collapsed="false">
      <c r="A4" s="0" t="n">
        <f aca="false">Sim_Boulevard!A2</f>
        <v>1</v>
      </c>
      <c r="B4" s="0" t="n">
        <f aca="false">Sim_Boulevard!J2</f>
        <v>452.67455</v>
      </c>
      <c r="C4" s="0" t="n">
        <f aca="false">Sim_Investigativ!J2</f>
        <v>453.40385</v>
      </c>
      <c r="D4" s="0" t="n">
        <f aca="false">Sim_Gemischt!J2</f>
        <v>453.40385</v>
      </c>
    </row>
    <row r="5" customFormat="false" ht="15" hidden="false" customHeight="false" outlineLevel="0" collapsed="false">
      <c r="A5" s="0" t="n">
        <f aca="false">Sim_Boulevard!A3</f>
        <v>2</v>
      </c>
      <c r="B5" s="0" t="n">
        <f aca="false">Sim_Boulevard!J3</f>
        <v>403.519935075</v>
      </c>
      <c r="C5" s="0" t="n">
        <f aca="false">Sim_Investigativ!J3</f>
        <v>406.180968525</v>
      </c>
      <c r="D5" s="0" t="n">
        <f aca="false">Sim_Gemischt!J3</f>
        <v>410.082929525</v>
      </c>
    </row>
    <row r="6" customFormat="false" ht="15" hidden="false" customHeight="false" outlineLevel="0" collapsed="false">
      <c r="A6" s="0" t="n">
        <f aca="false">Sim_Boulevard!A4</f>
        <v>3</v>
      </c>
      <c r="B6" s="0" t="n">
        <f aca="false">Sim_Boulevard!J4</f>
        <v>352.476832191613</v>
      </c>
      <c r="C6" s="0" t="n">
        <f aca="false">Sim_Investigativ!J4</f>
        <v>358.724685635787</v>
      </c>
      <c r="D6" s="0" t="n">
        <f aca="false">Sim_Gemischt!J4</f>
        <v>371.251442072288</v>
      </c>
    </row>
    <row r="7" customFormat="false" ht="15" hidden="false" customHeight="false" outlineLevel="0" collapsed="false">
      <c r="A7" s="0" t="n">
        <f aca="false">Sim_Boulevard!A5</f>
        <v>4</v>
      </c>
      <c r="B7" s="0" t="n">
        <f aca="false">Sim_Boulevard!J5</f>
        <v>299.446486537096</v>
      </c>
      <c r="C7" s="0" t="n">
        <f aca="false">Sim_Investigativ!J5</f>
        <v>311.363480666053</v>
      </c>
      <c r="D7" s="0" t="n">
        <f aca="false">Sim_Gemischt!J5</f>
        <v>338.455819280494</v>
      </c>
    </row>
    <row r="8" customFormat="false" ht="15" hidden="false" customHeight="false" outlineLevel="0" collapsed="false">
      <c r="A8" s="0" t="n">
        <f aca="false">Sim_Boulevard!A6</f>
        <v>5</v>
      </c>
      <c r="B8" s="0" t="n">
        <f aca="false">Sim_Boulevard!J6</f>
        <v>244.303689179502</v>
      </c>
      <c r="C8" s="0" t="n">
        <f aca="false">Sim_Investigativ!J6</f>
        <v>264.370570364394</v>
      </c>
      <c r="D8" s="0" t="n">
        <f aca="false">Sim_Gemischt!J6</f>
        <v>313.169232695115</v>
      </c>
    </row>
    <row r="9" customFormat="false" ht="15" hidden="false" customHeight="false" outlineLevel="0" collapsed="false">
      <c r="A9" s="0" t="n">
        <f aca="false">Sim_Boulevard!A7</f>
        <v>6</v>
      </c>
      <c r="B9" s="0" t="n">
        <f aca="false">Sim_Boulevard!J7</f>
        <v>186.907103912357</v>
      </c>
      <c r="C9" s="0" t="n">
        <f aca="false">Sim_Investigativ!J7</f>
        <v>217.972091198051</v>
      </c>
      <c r="D9" s="0" t="n">
        <f aca="false">Sim_Gemischt!J7</f>
        <v>295.958748921117</v>
      </c>
    </row>
    <row r="10" customFormat="false" ht="15" hidden="false" customHeight="false" outlineLevel="0" collapsed="false">
      <c r="A10" s="0" t="n">
        <f aca="false">Sim_Boulevard!A8</f>
        <v>7</v>
      </c>
      <c r="B10" s="0" t="n">
        <f aca="false">Sim_Boulevard!J8</f>
        <v>127.107403258158</v>
      </c>
      <c r="C10" s="0" t="n">
        <f aca="false">Sim_Investigativ!J8</f>
        <v>172.354083335445</v>
      </c>
      <c r="D10" s="0" t="n">
        <f aca="false">Sim_Gemischt!J8</f>
        <v>289.044004341781</v>
      </c>
    </row>
    <row r="11" customFormat="false" ht="15" hidden="false" customHeight="false" outlineLevel="0" collapsed="false">
      <c r="A11" s="0" t="n">
        <f aca="false">Sim_Boulevard!A9</f>
        <v>8</v>
      </c>
      <c r="B11" s="0" t="n">
        <f aca="false">Sim_Boulevard!J9</f>
        <v>64.7535993727809</v>
      </c>
      <c r="C11" s="0" t="n">
        <f aca="false">Sim_Investigativ!J9</f>
        <v>127.668452993847</v>
      </c>
      <c r="D11" s="0" t="n">
        <f aca="false">Sim_Gemischt!J9</f>
        <v>292.253242628378</v>
      </c>
    </row>
    <row r="12" customFormat="false" ht="15" hidden="false" customHeight="false" outlineLevel="0" collapsed="false">
      <c r="A12" s="0" t="n">
        <f aca="false">Sim_Boulevard!A10</f>
        <v>9</v>
      </c>
      <c r="B12" s="0" t="n">
        <f aca="false">Sim_Boulevard!J10</f>
        <v>-0.302107076682546</v>
      </c>
      <c r="C12" s="0" t="n">
        <f aca="false">Sim_Investigativ!J10</f>
        <v>84.0380636076701</v>
      </c>
      <c r="D12" s="0" t="n">
        <f aca="false">Sim_Gemischt!J10</f>
        <v>307.792661974435</v>
      </c>
    </row>
    <row r="13" customFormat="false" ht="15" hidden="false" customHeight="false" outlineLevel="0" collapsed="false">
      <c r="A13" s="0" t="n">
        <f aca="false">Sim_Boulevard!A11</f>
        <v>10</v>
      </c>
      <c r="B13" s="0" t="n">
        <f aca="false">Sim_Boulevard!J11</f>
        <v>-68.2006898640375</v>
      </c>
      <c r="C13" s="0" t="n">
        <f aca="false">Sim_Investigativ!J11</f>
        <v>41.5610839539267</v>
      </c>
      <c r="D13" s="0" t="n">
        <f aca="false">Sim_Gemischt!J11</f>
        <v>334.989278003374</v>
      </c>
    </row>
    <row r="14" customFormat="false" ht="15" hidden="false" customHeight="false" outlineLevel="0" collapsed="false">
      <c r="A14" s="0" t="n">
        <f aca="false">Sim_Boulevard!A12</f>
        <v>11</v>
      </c>
      <c r="B14" s="0" t="n">
        <f aca="false">Sim_Boulevard!J12</f>
        <v>-139.073646372179</v>
      </c>
      <c r="C14" s="0" t="n">
        <f aca="false">Sim_Investigativ!J12</f>
        <v>0.314702379406612</v>
      </c>
      <c r="D14" s="0" t="n">
        <f aca="false">Sim_Gemischt!J12</f>
        <v>376.06141369493</v>
      </c>
    </row>
    <row r="15" customFormat="false" ht="15" hidden="false" customHeight="false" outlineLevel="0" collapsed="false">
      <c r="A15" s="0" t="n">
        <f aca="false">Sim_Boulevard!A13</f>
        <v>12</v>
      </c>
      <c r="B15" s="0" t="n">
        <f aca="false">Sim_Boulevard!J13</f>
        <v>-212.894635053545</v>
      </c>
      <c r="C15" s="0" t="n">
        <f aca="false">Sim_Investigativ!J13</f>
        <v>-39.6416998882288</v>
      </c>
      <c r="D15" s="0" t="n">
        <f aca="false">Sim_Gemischt!J13</f>
        <v>429.885070356745</v>
      </c>
    </row>
    <row r="16" customFormat="false" ht="15" hidden="false" customHeight="false" outlineLevel="0" collapsed="false">
      <c r="A16" s="0" t="n">
        <f aca="false">Sim_Boulevard!A14</f>
        <v>13</v>
      </c>
      <c r="B16" s="0" t="n">
        <f aca="false">Sim_Boulevard!J14</f>
        <v>-289.031569029968</v>
      </c>
      <c r="C16" s="0" t="n">
        <f aca="false">Sim_Investigativ!J14</f>
        <v>-78.2638371188801</v>
      </c>
      <c r="D16" s="0" t="n">
        <f aca="false">Sim_Gemischt!J14</f>
        <v>498.713783176444</v>
      </c>
    </row>
    <row r="17" customFormat="false" ht="15" hidden="false" customHeight="false" outlineLevel="0" collapsed="false">
      <c r="A17" s="0" t="n">
        <f aca="false">Sim_Boulevard!A15</f>
        <v>14</v>
      </c>
      <c r="B17" s="0" t="n">
        <f aca="false">Sim_Boulevard!J15</f>
        <v>-367.144133699271</v>
      </c>
      <c r="C17" s="0" t="n">
        <f aca="false">Sim_Investigativ!J15</f>
        <v>-115.52020162988</v>
      </c>
      <c r="D17" s="0" t="n">
        <f aca="false">Sim_Gemischt!J15</f>
        <v>581.018814223849</v>
      </c>
    </row>
    <row r="18" customFormat="false" ht="15" hidden="false" customHeight="false" outlineLevel="0" collapsed="false">
      <c r="A18" s="0" t="n">
        <f aca="false">Sim_Boulevard!A16</f>
        <v>15</v>
      </c>
      <c r="B18" s="0" t="n">
        <f aca="false">Sim_Boulevard!J16</f>
        <v>-446.942849333843</v>
      </c>
      <c r="C18" s="0" t="n">
        <f aca="false">Sim_Investigativ!J16</f>
        <v>-151.390082956272</v>
      </c>
      <c r="D18" s="0" t="n">
        <f aca="false">Sim_Gemischt!J16</f>
        <v>679.109013438676</v>
      </c>
    </row>
    <row r="19" customFormat="false" ht="15" hidden="false" customHeight="false" outlineLevel="0" collapsed="false">
      <c r="A19" s="0" t="n">
        <f aca="false">Sim_Boulevard!A17</f>
        <v>16</v>
      </c>
      <c r="B19" s="0" t="n">
        <f aca="false">Sim_Boulevard!J17</f>
        <v>-528.181452218922</v>
      </c>
      <c r="C19" s="0" t="n">
        <f aca="false">Sim_Investigativ!J17</f>
        <v>-185.861874576129</v>
      </c>
      <c r="D19" s="0" t="n">
        <f aca="false">Sim_Gemischt!J17</f>
        <v>791.092959854499</v>
      </c>
    </row>
    <row r="20" customFormat="false" ht="15" hidden="false" customHeight="false" outlineLevel="0" collapsed="false">
      <c r="A20" s="0" t="n">
        <f aca="false">Sim_Boulevard!A18</f>
        <v>17</v>
      </c>
      <c r="B20" s="0" t="n">
        <f aca="false">Sim_Boulevard!J18</f>
        <v>-610.650418429061</v>
      </c>
      <c r="C20" s="0" t="n">
        <f aca="false">Sim_Investigativ!J18</f>
        <v>-218.931626350846</v>
      </c>
      <c r="D20" s="0" t="n">
        <f aca="false">Sim_Gemischt!J18</f>
        <v>919.351780953381</v>
      </c>
    </row>
    <row r="21" customFormat="false" ht="15" hidden="false" customHeight="false" outlineLevel="0" collapsed="false">
      <c r="A21" s="0" t="n">
        <f aca="false">Sim_Boulevard!A19</f>
        <v>18</v>
      </c>
      <c r="B21" s="0" t="n">
        <f aca="false">Sim_Boulevard!J19</f>
        <v>-694.171458852768</v>
      </c>
      <c r="C21" s="0" t="n">
        <f aca="false">Sim_Investigativ!J19</f>
        <v>-250.601806993426</v>
      </c>
      <c r="D21" s="0" t="n">
        <f aca="false">Sim_Gemischt!J19</f>
        <v>1061.66921331241</v>
      </c>
    </row>
    <row r="22" customFormat="false" ht="15" hidden="false" customHeight="false" outlineLevel="0" collapsed="false">
      <c r="A22" s="0" t="n">
        <f aca="false">Sim_Boulevard!A20</f>
        <v>19</v>
      </c>
      <c r="B22" s="0" t="n">
        <f aca="false">Sim_Boulevard!J20</f>
        <v>-778.592839783654</v>
      </c>
      <c r="C22" s="0" t="n">
        <f aca="false">Sim_Investigativ!J20</f>
        <v>-280.880246118348</v>
      </c>
      <c r="D22" s="0" t="n">
        <f aca="false">Sim_Gemischt!J20</f>
        <v>1220.51255182283</v>
      </c>
    </row>
    <row r="23" customFormat="false" ht="15" hidden="false" customHeight="false" outlineLevel="0" collapsed="false">
      <c r="A23" s="0" t="n">
        <f aca="false">Sim_Boulevard!A21</f>
        <v>20</v>
      </c>
      <c r="B23" s="0" t="n">
        <f aca="false">Sim_Boulevard!J21</f>
        <v>-863.785405248521</v>
      </c>
      <c r="C23" s="0" t="n">
        <f aca="false">Sim_Investigativ!J21</f>
        <v>-309.779229890897</v>
      </c>
      <c r="D23" s="0" t="n">
        <f aca="false">Sim_Gemischt!J21</f>
        <v>1393.37449204659</v>
      </c>
    </row>
    <row r="24" customFormat="false" ht="15" hidden="false" customHeight="false" outlineLevel="0" collapsed="false">
      <c r="A24" s="0" t="n">
        <f aca="false">Sim_Boulevard!A22</f>
        <v>21</v>
      </c>
      <c r="B24" s="0" t="n">
        <f aca="false">Sim_Boulevard!J22</f>
        <v>-949.639195817063</v>
      </c>
      <c r="C24" s="0" t="n">
        <f aca="false">Sim_Investigativ!J22</f>
        <v>-337.314728097275</v>
      </c>
      <c r="D24" s="0" t="n">
        <f aca="false">Sim_Gemischt!J22</f>
        <v>1582.81951120843</v>
      </c>
    </row>
    <row r="25" customFormat="false" ht="15" hidden="false" customHeight="false" outlineLevel="0" collapsed="false">
      <c r="A25" s="0" t="n">
        <f aca="false">Sim_Boulevard!A23</f>
        <v>22</v>
      </c>
      <c r="B25" s="0" t="n">
        <f aca="false">Sim_Boulevard!J23</f>
        <v>-1036.06057442603</v>
      </c>
      <c r="C25" s="0" t="n">
        <f aca="false">Sim_Investigativ!J23</f>
        <v>-363.505733697955</v>
      </c>
      <c r="D25" s="0" t="n">
        <f aca="false">Sim_Gemischt!J23</f>
        <v>1786.079301075</v>
      </c>
    </row>
    <row r="26" customFormat="false" ht="15" hidden="false" customHeight="false" outlineLevel="0" collapsed="false">
      <c r="A26" s="0" t="n">
        <f aca="false">Sim_Boulevard!A24</f>
        <v>23</v>
      </c>
      <c r="B26" s="0" t="n">
        <f aca="false">Sim_Boulevard!J24</f>
        <v>-1122.96978317058</v>
      </c>
      <c r="C26" s="0" t="n">
        <f aca="false">Sim_Investigativ!J24</f>
        <v>-388.373698689146</v>
      </c>
      <c r="D26" s="0" t="n">
        <f aca="false">Sim_Gemischt!J24</f>
        <v>2005.82392941906</v>
      </c>
    </row>
    <row r="27" customFormat="false" ht="15" hidden="false" customHeight="false" outlineLevel="0" collapsed="false">
      <c r="A27" s="0" t="n">
        <f aca="false">Sim_Boulevard!A25</f>
        <v>24</v>
      </c>
      <c r="B27" s="0" t="n">
        <f aca="false">Sim_Boulevard!J25</f>
        <v>-1210.29886642257</v>
      </c>
      <c r="C27" s="0" t="n">
        <f aca="false">Sim_Investigativ!J25</f>
        <v>-411.942052452178</v>
      </c>
      <c r="D27" s="0" t="n">
        <f aca="false">Sim_Gemischt!J25</f>
        <v>2239.0506806351</v>
      </c>
    </row>
    <row r="28" customFormat="false" ht="15" hidden="false" customHeight="false" outlineLevel="0" collapsed="false">
      <c r="A28" s="0" t="n">
        <f aca="false">Sim_Boulevard!A26</f>
        <v>25</v>
      </c>
      <c r="B28" s="0" t="n">
        <f aca="false">Sim_Boulevard!J26</f>
        <v>-1297.98990533131</v>
      </c>
      <c r="C28" s="0" t="n">
        <f aca="false">Sim_Investigativ!J26</f>
        <v>-434.235790778595</v>
      </c>
      <c r="D28" s="0" t="n">
        <f aca="false">Sim_Gemischt!J26</f>
        <v>2487.12464943126</v>
      </c>
    </row>
    <row r="29" customFormat="false" ht="15" hidden="false" customHeight="false" outlineLevel="0" collapsed="false">
      <c r="A29" s="0" t="n">
        <f aca="false">Sim_Boulevard!A27</f>
        <v>26</v>
      </c>
      <c r="B29" s="0" t="n">
        <f aca="false">Sim_Boulevard!J27</f>
        <v>-1385.99351700395</v>
      </c>
      <c r="C29" s="0" t="n">
        <f aca="false">Sim_Investigativ!J27</f>
        <v>-455.28112547126</v>
      </c>
      <c r="D29" s="0" t="n">
        <f aca="false">Sim_Gemischt!J27</f>
        <v>2747.50430533208</v>
      </c>
    </row>
    <row r="30" customFormat="false" ht="15" hidden="false" customHeight="false" outlineLevel="0" collapsed="false">
      <c r="A30" s="0" t="n">
        <f aca="false">Sim_Boulevard!A28</f>
        <v>27</v>
      </c>
      <c r="B30" s="0" t="n">
        <f aca="false">Sim_Boulevard!J28</f>
        <v>-1474.26757866791</v>
      </c>
      <c r="C30" s="0" t="n">
        <f aca="false">Sim_Investigativ!J28</f>
        <v>-475.105185882755</v>
      </c>
      <c r="D30" s="0" t="n">
        <f aca="false">Sim_Gemischt!J28</f>
        <v>3021.26259093255</v>
      </c>
    </row>
    <row r="31" customFormat="false" ht="15" hidden="false" customHeight="false" outlineLevel="0" collapsed="false">
      <c r="A31" s="0" t="n">
        <f aca="false">Sim_Boulevard!A29</f>
        <v>28</v>
      </c>
      <c r="B31" s="0" t="n">
        <f aca="false">Sim_Boulevard!J29</f>
        <v>-1562.77614307221</v>
      </c>
      <c r="C31" s="0" t="n">
        <f aca="false">Sim_Investigativ!J29</f>
        <v>-493.735764998986</v>
      </c>
      <c r="D31" s="0" t="n">
        <f aca="false">Sim_Gemischt!J29</f>
        <v>3306.04341887577</v>
      </c>
    </row>
    <row r="32" customFormat="false" ht="15" hidden="false" customHeight="false" outlineLevel="0" collapsed="false">
      <c r="A32" s="0" t="n">
        <f aca="false">Sim_Boulevard!A30</f>
        <v>29</v>
      </c>
      <c r="B32" s="0" t="n">
        <f aca="false">Sim_Boulevard!J30</f>
        <v>-1651.48851644611</v>
      </c>
      <c r="C32" s="0" t="n">
        <f aca="false">Sim_Investigativ!J30</f>
        <v>-511.20110374</v>
      </c>
      <c r="D32" s="0" t="n">
        <f aca="false">Sim_Gemischt!J30</f>
        <v>3603.13455409746</v>
      </c>
    </row>
    <row r="33" customFormat="false" ht="15" hidden="false" customHeight="false" outlineLevel="0" collapsed="false">
      <c r="A33" s="0" t="n">
        <f aca="false">Sim_Boulevard!A31</f>
        <v>30</v>
      </c>
      <c r="B33" s="0" t="n">
        <f aca="false">Sim_Boulevard!J31</f>
        <v>-1740.37847463526</v>
      </c>
      <c r="C33" s="0" t="n">
        <f aca="false">Sim_Investigativ!J31</f>
        <v>-527.529708058538</v>
      </c>
      <c r="D33" s="0" t="n">
        <f aca="false">Sim_Gemischt!J31</f>
        <v>3910.16594936442</v>
      </c>
    </row>
    <row r="34" customFormat="false" ht="15" hidden="false" customHeight="false" outlineLevel="0" collapsed="false">
      <c r="A34" s="0" t="n">
        <f aca="false">Sim_Boulevard!A32</f>
        <v>31</v>
      </c>
      <c r="B34" s="0" t="n">
        <f aca="false">Sim_Boulevard!J32</f>
        <v>-1829.42359669274</v>
      </c>
      <c r="C34" s="0" t="n">
        <f aca="false">Sim_Investigativ!J32</f>
        <v>-542.750194192846</v>
      </c>
      <c r="D34" s="0" t="n">
        <f aca="false">Sim_Gemischt!J32</f>
        <v>4228.60874166142</v>
      </c>
    </row>
    <row r="35" customFormat="false" ht="15" hidden="false" customHeight="false" outlineLevel="0" collapsed="false">
      <c r="A35" s="0" t="n">
        <f aca="false">Sim_Boulevard!A33</f>
        <v>32</v>
      </c>
      <c r="B35" s="0" t="n">
        <f aca="false">Sim_Boulevard!J33</f>
        <v>-1918.60469831038</v>
      </c>
      <c r="C35" s="0" t="n">
        <f aca="false">Sim_Investigativ!J33</f>
        <v>-556.891158093225</v>
      </c>
      <c r="D35" s="0" t="n">
        <f aca="false">Sim_Gemischt!J33</f>
        <v>4556.06380775996</v>
      </c>
    </row>
    <row r="36" customFormat="false" ht="15" hidden="false" customHeight="false" outlineLevel="0" collapsed="false">
      <c r="A36" s="0" t="n">
        <f aca="false">Sim_Boulevard!A34</f>
        <v>33</v>
      </c>
      <c r="B36" s="0" t="n">
        <f aca="false">Sim_Boulevard!J34</f>
        <v>-2007.90535011811</v>
      </c>
      <c r="C36" s="0" t="n">
        <f aca="false">Sim_Investigativ!J34</f>
        <v>-569.981065608468</v>
      </c>
      <c r="D36" s="0" t="n">
        <f aca="false">Sim_Gemischt!J34</f>
        <v>4894.1612694303</v>
      </c>
    </row>
    <row r="37" customFormat="false" ht="15" hidden="false" customHeight="false" outlineLevel="0" collapsed="false">
      <c r="A37" s="0" t="n">
        <f aca="false">Sim_Boulevard!A35</f>
        <v>34</v>
      </c>
      <c r="B37" s="0" t="n">
        <f aca="false">Sim_Boulevard!J35</f>
        <v>-2097.31146812443</v>
      </c>
      <c r="C37" s="0" t="n">
        <f aca="false">Sim_Investigativ!J35</f>
        <v>-582.048160502828</v>
      </c>
      <c r="D37" s="0" t="n">
        <f aca="false">Sim_Gemischt!J35</f>
        <v>5240.4631283608</v>
      </c>
    </row>
    <row r="38" customFormat="false" ht="15" hidden="false" customHeight="false" outlineLevel="0" collapsed="false">
      <c r="A38" s="0" t="n">
        <f aca="false">Sim_Boulevard!A36</f>
        <v>35</v>
      </c>
      <c r="B38" s="0" t="n">
        <f aca="false">Sim_Boulevard!J36</f>
        <v>-2186.81096548046</v>
      </c>
      <c r="C38" s="0" t="n">
        <f aca="false">Sim_Investigativ!J36</f>
        <v>-593.120387788594</v>
      </c>
      <c r="D38" s="0" t="n">
        <f aca="false">Sim_Gemischt!J36</f>
        <v>5596.73930524903</v>
      </c>
    </row>
    <row r="39" customFormat="false" ht="15" hidden="false" customHeight="false" outlineLevel="0" collapsed="false">
      <c r="A39" s="0" t="n">
        <f aca="false">Sim_Boulevard!A37</f>
        <v>36</v>
      </c>
      <c r="B39" s="0" t="n">
        <f aca="false">Sim_Boulevard!J37</f>
        <v>-2276.39345637222</v>
      </c>
      <c r="C39" s="0" t="n">
        <f aca="false">Sim_Investigativ!J37</f>
        <v>-603.225330214004</v>
      </c>
      <c r="D39" s="0" t="n">
        <f aca="false">Sim_Gemischt!J37</f>
        <v>5960.50690283897</v>
      </c>
    </row>
    <row r="40" customFormat="false" ht="15" hidden="false" customHeight="false" outlineLevel="0" collapsed="false">
      <c r="A40" s="0" t="n">
        <f aca="false">Sim_Boulevard!A38</f>
        <v>37</v>
      </c>
      <c r="B40" s="0" t="n">
        <f aca="false">Sim_Boulevard!J38</f>
        <v>-2366.05000422518</v>
      </c>
      <c r="C40" s="0" t="n">
        <f aca="false">Sim_Investigativ!J38</f>
        <v>-612.390156049867</v>
      </c>
      <c r="D40" s="0" t="n">
        <f aca="false">Sim_Gemischt!J38</f>
        <v>6333.660305467</v>
      </c>
    </row>
    <row r="41" customFormat="false" ht="15" hidden="false" customHeight="false" outlineLevel="0" collapsed="false">
      <c r="A41" s="0" t="n">
        <f aca="false">Sim_Boulevard!A39</f>
        <v>38</v>
      </c>
      <c r="B41" s="0" t="n">
        <f aca="false">Sim_Boulevard!J39</f>
        <v>-2455.77290757731</v>
      </c>
      <c r="C41" s="0" t="n">
        <f aca="false">Sim_Investigativ!J39</f>
        <v>-620.641576578328</v>
      </c>
      <c r="D41" s="0" t="n">
        <f aca="false">Sim_Gemischt!J39</f>
        <v>6713.66835826418</v>
      </c>
    </row>
    <row r="42" customFormat="false" ht="15" hidden="false" customHeight="false" outlineLevel="0" collapsed="false">
      <c r="A42" s="0" t="n">
        <f aca="false">Sim_Boulevard!A40</f>
        <v>39</v>
      </c>
      <c r="B42" s="0" t="n">
        <f aca="false">Sim_Boulevard!J40</f>
        <v>-2545.55551797342</v>
      </c>
      <c r="C42" s="0" t="n">
        <f aca="false">Sim_Investigativ!J40</f>
        <v>-628.005811910089</v>
      </c>
      <c r="D42" s="0" t="n">
        <f aca="false">Sim_Gemischt!J40</f>
        <v>7102.53744303798</v>
      </c>
    </row>
    <row r="43" customFormat="false" ht="15" hidden="false" customHeight="false" outlineLevel="0" collapsed="false">
      <c r="A43" s="0" t="n">
        <f aca="false">Sim_Boulevard!A41</f>
        <v>40</v>
      </c>
      <c r="B43" s="0" t="n">
        <f aca="false">Sim_Boulevard!J41</f>
        <v>-2635.39208508051</v>
      </c>
      <c r="C43" s="0" t="n">
        <f aca="false">Sim_Investigativ!J41</f>
        <v>-634.508563947543</v>
      </c>
      <c r="D43" s="0" t="n">
        <f aca="false">Sim_Gemischt!J41</f>
        <v>7497.68665551977</v>
      </c>
    </row>
    <row r="44" customFormat="false" ht="15" hidden="false" customHeight="false" outlineLevel="0" collapsed="false">
      <c r="A44" s="0" t="n">
        <f aca="false">Sim_Boulevard!A42</f>
        <v>41</v>
      </c>
      <c r="B44" s="0" t="n">
        <f aca="false">Sim_Boulevard!J42</f>
        <v>-2725.27762494382</v>
      </c>
      <c r="C44" s="0" t="n">
        <f aca="false">Sim_Investigativ!J42</f>
        <v>-640.174995475166</v>
      </c>
      <c r="D44" s="0" t="n">
        <f aca="false">Sim_Gemischt!J42</f>
        <v>7901.22406369763</v>
      </c>
    </row>
    <row r="45" customFormat="false" ht="15" hidden="false" customHeight="false" outlineLevel="0" collapsed="false">
      <c r="A45" s="0" t="n">
        <f aca="false">Sim_Boulevard!A43</f>
        <v>42</v>
      </c>
      <c r="B45" s="0" t="n">
        <f aca="false">Sim_Boulevard!J43</f>
        <v>-2815.20780791525</v>
      </c>
      <c r="C45" s="0" t="n">
        <f aca="false">Sim_Investigativ!J43</f>
        <v>-645.029714499342</v>
      </c>
      <c r="D45" s="0" t="n">
        <f aca="false">Sim_Gemischt!J43</f>
        <v>8310.5188156888</v>
      </c>
    </row>
    <row r="46" customFormat="false" ht="15" hidden="false" customHeight="false" outlineLevel="0" collapsed="false">
      <c r="A46" s="0" t="n">
        <f aca="false">Sim_Boulevard!A44</f>
        <v>43</v>
      </c>
      <c r="B46" s="0" t="n">
        <f aca="false">Sim_Boulevard!J44</f>
        <v>-2905.17886330595</v>
      </c>
      <c r="C46" s="0" t="n">
        <f aca="false">Sim_Investigativ!J44</f>
        <v>-649.096763080585</v>
      </c>
      <c r="D46" s="0" t="n">
        <f aca="false">Sim_Gemischt!J44</f>
        <v>8727.77198836535</v>
      </c>
    </row>
    <row r="47" customFormat="false" ht="15" hidden="false" customHeight="false" outlineLevel="0" collapsed="false">
      <c r="A47" s="0" t="n">
        <f aca="false">Sim_Boulevard!A45</f>
        <v>44</v>
      </c>
      <c r="B47" s="0" t="n">
        <f aca="false">Sim_Boulevard!J45</f>
        <v>-2995.18749825708</v>
      </c>
      <c r="C47" s="0" t="n">
        <f aca="false">Sim_Investigativ!J45</f>
        <v>-652.399610005124</v>
      </c>
      <c r="D47" s="0" t="n">
        <f aca="false">Sim_Gemischt!J45</f>
        <v>9150.30346663754</v>
      </c>
    </row>
    <row r="48" customFormat="false" ht="15" hidden="false" customHeight="false" outlineLevel="0" collapsed="false">
      <c r="A48" s="0" t="n">
        <f aca="false">Sim_Boulevard!A46</f>
        <v>45</v>
      </c>
      <c r="B48" s="0" t="n">
        <f aca="false">Sim_Boulevard!J46</f>
        <v>-3085.23082869851</v>
      </c>
      <c r="C48" s="0" t="n">
        <f aca="false">Sim_Investigativ!J46</f>
        <v>-654.961146732088</v>
      </c>
      <c r="D48" s="0" t="n">
        <f aca="false">Sim_Gemischt!J46</f>
        <v>9580.39991206405</v>
      </c>
    </row>
    <row r="49" customFormat="false" ht="15" hidden="false" customHeight="false" outlineLevel="0" collapsed="false">
      <c r="A49" s="0" t="n">
        <f aca="false">Sim_Boulevard!A47</f>
        <v>46</v>
      </c>
      <c r="B49" s="0" t="n">
        <f aca="false">Sim_Boulevard!J47</f>
        <v>-3175.30632058471</v>
      </c>
      <c r="C49" s="0" t="n">
        <f aca="false">Sim_Investigativ!J47</f>
        <v>-656.803686129495</v>
      </c>
      <c r="D49" s="0" t="n">
        <f aca="false">Sim_Gemischt!J47</f>
        <v>10015.3332195372</v>
      </c>
    </row>
    <row r="50" customFormat="false" ht="15" hidden="false" customHeight="false" outlineLevel="0" collapsed="false">
      <c r="A50" s="0" t="n">
        <f aca="false">Sim_Boulevard!A48</f>
        <v>47</v>
      </c>
      <c r="B50" s="0" t="n">
        <f aca="false">Sim_Boulevard!J48</f>
        <v>-3265.41173986862</v>
      </c>
      <c r="C50" s="0" t="n">
        <f aca="false">Sim_Investigativ!J48</f>
        <v>-657.948963578451</v>
      </c>
      <c r="D50" s="0" t="n">
        <f aca="false">Sim_Gemischt!J48</f>
        <v>10457.4691847209</v>
      </c>
    </row>
    <row r="51" customFormat="false" ht="15" hidden="false" customHeight="false" outlineLevel="0" collapsed="false">
      <c r="A51" s="0" t="n">
        <f aca="false">Sim_Boulevard!A49</f>
        <v>48</v>
      </c>
      <c r="B51" s="0" t="n">
        <f aca="false">Sim_Boulevard!J49</f>
        <v>-3355.54510990518</v>
      </c>
      <c r="C51" s="0" t="n">
        <f aca="false">Sim_Investigativ!J49</f>
        <v>-658.418140082052</v>
      </c>
      <c r="D51" s="0" t="n">
        <f aca="false">Sim_Gemischt!J49</f>
        <v>10904.0333650519</v>
      </c>
    </row>
    <row r="52" customFormat="false" ht="15" hidden="false" customHeight="false" outlineLevel="0" collapsed="false">
      <c r="A52" s="0" t="n">
        <f aca="false">Sim_Boulevard!A50</f>
        <v>49</v>
      </c>
      <c r="B52" s="0" t="n">
        <f aca="false">Sim_Boulevard!J50</f>
        <v>-3445.70467517212</v>
      </c>
      <c r="C52" s="0" t="n">
        <f aca="false">Sim_Investigativ!J50</f>
        <v>-658.231807064727</v>
      </c>
      <c r="D52" s="0" t="n">
        <f aca="false">Sim_Gemischt!J50</f>
        <v>11357.4650073734</v>
      </c>
    </row>
    <row r="53" customFormat="false" ht="15" hidden="false" customHeight="false" outlineLevel="0" collapsed="false">
      <c r="A53" s="0" t="n">
        <f aca="false">Sim_Boulevard!A51</f>
        <v>50</v>
      </c>
      <c r="B53" s="0" t="n">
        <f aca="false">Sim_Boulevard!J51</f>
        <v>-3535.88887036282</v>
      </c>
      <c r="C53" s="0" t="n">
        <f aca="false">Sim_Investigativ!J51</f>
        <v>-657.409992590242</v>
      </c>
      <c r="D53" s="0" t="n">
        <f aca="false">Sim_Gemischt!J51</f>
        <v>11814.945215025</v>
      </c>
    </row>
    <row r="54" customFormat="false" ht="15" hidden="false" customHeight="false" outlineLevel="0" collapsed="false">
      <c r="A54" s="0" t="n">
        <f aca="false">Sim_Boulevard!A52</f>
        <v>51</v>
      </c>
      <c r="B54" s="0" t="n">
        <f aca="false">Sim_Boulevard!J52</f>
        <v>-3626.09629404729</v>
      </c>
      <c r="C54" s="0" t="n">
        <f aca="false">Sim_Investigativ!J52</f>
        <v>-655.97216876329</v>
      </c>
      <c r="D54" s="0" t="n">
        <f aca="false">Sim_Gemischt!J52</f>
        <v>12278.9816181566</v>
      </c>
    </row>
    <row r="55" customFormat="false" ht="15" hidden="false" customHeight="false" outlineLevel="0" collapsed="false">
      <c r="A55" s="0" t="n">
        <f aca="false">Sim_Boulevard!A53</f>
        <v>52</v>
      </c>
      <c r="B55" s="0" t="n">
        <f aca="false">Sim_Boulevard!J53</f>
        <v>-3716.32568621831</v>
      </c>
      <c r="C55" s="0" t="n">
        <f aca="false">Sim_Investigativ!J53</f>
        <v>-653.937260111342</v>
      </c>
      <c r="D55" s="0" t="n">
        <f aca="false">Sim_Gemischt!J53</f>
        <v>12746.7128753767</v>
      </c>
    </row>
    <row r="56" customFormat="false" ht="15" hidden="false" customHeight="false" outlineLevel="0" collapsed="false">
      <c r="A56" s="0" t="n">
        <f aca="false">Sim_Boulevard!A54</f>
        <v>53</v>
      </c>
      <c r="B56" s="0" t="n">
        <f aca="false">Sim_Boulevard!J54</f>
        <v>-3806.5759091417</v>
      </c>
      <c r="C56" s="0" t="n">
        <f aca="false">Sim_Investigativ!J54</f>
        <v>-651.323652770867</v>
      </c>
      <c r="D56" s="0" t="n">
        <f aca="false">Sim_Gemischt!J54</f>
        <v>13220.7104334978</v>
      </c>
    </row>
    <row r="57" customFormat="false" ht="15" hidden="false" customHeight="false" outlineLevel="0" collapsed="false">
      <c r="A57" s="0" t="n">
        <f aca="false">Sim_Boulevard!A55</f>
        <v>54</v>
      </c>
      <c r="B57" s="0" t="n">
        <f aca="false">Sim_Boulevard!J55</f>
        <v>-3896.84593101728</v>
      </c>
      <c r="C57" s="0" t="n">
        <f aca="false">Sim_Investigativ!J55</f>
        <v>-648.149204325802</v>
      </c>
      <c r="D57" s="0" t="n">
        <f aca="false">Sim_Gemischt!J55</f>
        <v>13698.0725684686</v>
      </c>
    </row>
    <row r="58" customFormat="false" ht="15" hidden="false" customHeight="false" outlineLevel="0" collapsed="false">
      <c r="A58" s="0" t="n">
        <f aca="false">Sim_Boulevard!A56</f>
        <v>55</v>
      </c>
      <c r="B58" s="0" t="n">
        <f aca="false">Sim_Boulevard!J56</f>
        <v>-3987.1348120305</v>
      </c>
      <c r="C58" s="0" t="n">
        <f aca="false">Sim_Investigativ!J56</f>
        <v>-644.431254166766</v>
      </c>
      <c r="D58" s="0" t="n">
        <f aca="false">Sim_Gemischt!J56</f>
        <v>14181.4303927493</v>
      </c>
    </row>
    <row r="59" customFormat="false" ht="15" hidden="false" customHeight="false" outlineLevel="0" collapsed="false">
      <c r="A59" s="0" t="n">
        <f aca="false">Sim_Boulevard!A57</f>
        <v>56</v>
      </c>
      <c r="B59" s="0" t="n">
        <f aca="false">Sim_Boulevard!J57</f>
        <v>-4077.44169243813</v>
      </c>
      <c r="C59" s="0" t="n">
        <f aca="false">Sim_Investigativ!J57</f>
        <v>-640.186634257351</v>
      </c>
      <c r="D59" s="0" t="n">
        <f aca="false">Sim_Gemischt!J57</f>
        <v>14667.8438637112</v>
      </c>
    </row>
    <row r="60" customFormat="false" ht="15" hidden="false" customHeight="false" outlineLevel="0" collapsed="false">
      <c r="A60" s="0" t="n">
        <f aca="false">Sim_Boulevard!A58</f>
        <v>57</v>
      </c>
      <c r="B60" s="0" t="n">
        <f aca="false">Sim_Boulevard!J58</f>
        <v>-4167.76578238464</v>
      </c>
      <c r="C60" s="0" t="n">
        <f aca="false">Sim_Investigativ!J58</f>
        <v>-635.431680209338</v>
      </c>
      <c r="D60" s="0" t="n">
        <f aca="false">Sim_Gemischt!J58</f>
        <v>15159.9999590696</v>
      </c>
    </row>
    <row r="61" customFormat="false" ht="15" hidden="false" customHeight="false" outlineLevel="0" collapsed="false">
      <c r="A61" s="0" t="n">
        <f aca="false">Sim_Boulevard!A59</f>
        <v>58</v>
      </c>
      <c r="B61" s="0" t="n">
        <f aca="false">Sim_Boulevard!J59</f>
        <v>-4258.10635319117</v>
      </c>
      <c r="C61" s="0" t="n">
        <f aca="false">Sim_Investigativ!J59</f>
        <v>-630.182242582143</v>
      </c>
      <c r="D61" s="0" t="n">
        <f aca="false">Sim_Gemischt!J59</f>
        <v>15654.9223492164</v>
      </c>
    </row>
    <row r="62" customFormat="false" ht="15" hidden="false" customHeight="false" outlineLevel="0" collapsed="false">
      <c r="A62" s="0" t="n">
        <f aca="false">Sim_Boulevard!A60</f>
        <v>59</v>
      </c>
      <c r="B62" s="0" t="n">
        <f aca="false">Sim_Boulevard!J60</f>
        <v>-4348.46272989818</v>
      </c>
      <c r="C62" s="0" t="n">
        <f aca="false">Sim_Investigativ!J60</f>
        <v>-624.453698333498</v>
      </c>
      <c r="D62" s="0" t="n">
        <f aca="false">Sim_Gemischt!J60</f>
        <v>16155.35037741</v>
      </c>
    </row>
    <row r="63" customFormat="false" ht="15" hidden="false" customHeight="false" outlineLevel="0" collapsed="false">
      <c r="A63" s="0" t="n">
        <f aca="false">Sim_Boulevard!A61</f>
        <v>60</v>
      </c>
      <c r="B63" s="0" t="n">
        <f aca="false">Sim_Boulevard!J61</f>
        <v>-4438.83428487494</v>
      </c>
      <c r="C63" s="0" t="n">
        <f aca="false">Sim_Investigativ!J61</f>
        <v>-618.260962358549</v>
      </c>
      <c r="D63" s="0" t="n">
        <f aca="false">Sim_Gemischt!J61</f>
        <v>16658.2734032595</v>
      </c>
    </row>
    <row r="64" customFormat="false" ht="15" hidden="false" customHeight="false" outlineLevel="0" collapsed="false">
      <c r="A64" s="0" t="n">
        <f aca="false">Sim_Boulevard!A62</f>
        <v>61</v>
      </c>
      <c r="B64" s="0" t="n">
        <f aca="false">Sim_Boulevard!J62</f>
        <v>-4529.22043233772</v>
      </c>
      <c r="C64" s="0" t="n">
        <f aca="false">Sim_Investigativ!J62</f>
        <v>-611.61849906342</v>
      </c>
      <c r="D64" s="0" t="n">
        <f aca="false">Sim_Gemischt!J62</f>
        <v>17166.4798976532</v>
      </c>
    </row>
    <row r="65" customFormat="false" ht="15" hidden="false" customHeight="false" outlineLevel="0" collapsed="false">
      <c r="A65" s="0" t="n">
        <f aca="false">Sim_Boulevard!A63</f>
        <v>62</v>
      </c>
      <c r="B65" s="0" t="n">
        <f aca="false">Sim_Boulevard!J63</f>
        <v>-4619.62062364164</v>
      </c>
      <c r="C65" s="0" t="n">
        <f aca="false">Sim_Investigativ!J63</f>
        <v>-604.540333926985</v>
      </c>
      <c r="D65" s="0" t="n">
        <f aca="false">Sim_Gemischt!J63</f>
        <v>17676.9268155412</v>
      </c>
    </row>
    <row r="66" customFormat="false" ht="15" hidden="false" customHeight="false" outlineLevel="0" collapsed="false">
      <c r="A66" s="0" t="n">
        <f aca="false">Sim_Boulevard!A64</f>
        <v>63</v>
      </c>
      <c r="B66" s="0" t="n">
        <f aca="false">Sim_Boulevard!J64</f>
        <v>-4710.03434323172</v>
      </c>
      <c r="C66" s="0" t="n">
        <f aca="false">Sim_Investigativ!J64</f>
        <v>-597.040065011319</v>
      </c>
      <c r="D66" s="0" t="n">
        <f aca="false">Sim_Gemischt!J64</f>
        <v>18192.4487486026</v>
      </c>
    </row>
    <row r="67" customFormat="false" ht="15" hidden="false" customHeight="false" outlineLevel="0" collapsed="false">
      <c r="A67" s="0" t="n">
        <f aca="false">Sim_Boulevard!A65</f>
        <v>64</v>
      </c>
      <c r="B67" s="0" t="n">
        <f aca="false">Sim_Boulevard!J65</f>
        <v>-4800.46110515557</v>
      </c>
      <c r="C67" s="0" t="n">
        <f aca="false">Sim_Investigativ!J65</f>
        <v>-589.130874387171</v>
      </c>
      <c r="D67" s="0" t="n">
        <f aca="false">Sim_Gemischt!J65</f>
        <v>18709.9720743569</v>
      </c>
    </row>
    <row r="68" customFormat="false" ht="15" hidden="false" customHeight="false" outlineLevel="0" collapsed="false">
      <c r="A68" s="0" t="n">
        <f aca="false">Sim_Boulevard!A66</f>
        <v>65</v>
      </c>
      <c r="B68" s="0" t="n">
        <f aca="false">Sim_Boulevard!J66</f>
        <v>-4890.90045005496</v>
      </c>
      <c r="C68" s="0" t="n">
        <f aca="false">Sim_Investigativ!J66</f>
        <v>-580.825539445884</v>
      </c>
      <c r="D68" s="0" t="n">
        <f aca="false">Sim_Gemischt!J66</f>
        <v>19232.3747048308</v>
      </c>
    </row>
    <row r="69" customFormat="false" ht="15" hidden="false" customHeight="false" outlineLevel="0" collapsed="false">
      <c r="A69" s="0" t="n">
        <f aca="false">Sim_Boulevard!A67</f>
        <v>66</v>
      </c>
      <c r="B69" s="0" t="n">
        <f aca="false">Sim_Boulevard!J67</f>
        <v>-4981.35194256563</v>
      </c>
      <c r="C69" s="0" t="n">
        <f aca="false">Sim_Investigativ!J67</f>
        <v>-572.136444073679</v>
      </c>
      <c r="D69" s="0" t="n">
        <f aca="false">Sim_Gemischt!J67</f>
        <v>19756.554183741</v>
      </c>
    </row>
    <row r="70" customFormat="false" ht="15" hidden="false" customHeight="false" outlineLevel="0" collapsed="false">
      <c r="A70" s="0" t="n">
        <f aca="false">Sim_Boulevard!A68</f>
        <v>67</v>
      </c>
      <c r="B70" s="0" t="n">
        <f aca="false">Sim_Boulevard!J68</f>
        <v>-5071.81516906552</v>
      </c>
      <c r="C70" s="0" t="n">
        <f aca="false">Sim_Investigativ!J68</f>
        <v>-563.075589668057</v>
      </c>
      <c r="D70" s="0" t="n">
        <f aca="false">Sim_Gemischt!J68</f>
        <v>20285.4291292556</v>
      </c>
    </row>
    <row r="71" customFormat="false" ht="15" hidden="false" customHeight="false" outlineLevel="0" collapsed="false">
      <c r="A71" s="0" t="n">
        <f aca="false">Sim_Boulevard!A69</f>
        <v>68</v>
      </c>
      <c r="B71" s="0" t="n">
        <f aca="false">Sim_Boulevard!J69</f>
        <v>-5162.28973572026</v>
      </c>
      <c r="C71" s="0" t="n">
        <f aca="false">Sim_Investigativ!J69</f>
        <v>-553.654605979538</v>
      </c>
      <c r="D71" s="0" t="n">
        <f aca="false">Sim_Gemischt!J69</f>
        <v>20815.8699094887</v>
      </c>
    </row>
    <row r="72" customFormat="false" ht="15" hidden="false" customHeight="false" outlineLevel="0" collapsed="false">
      <c r="A72" s="0" t="n">
        <f aca="false">Sim_Boulevard!A70</f>
        <v>69</v>
      </c>
      <c r="B72" s="0" t="n">
        <f aca="false">Sim_Boulevard!J70</f>
        <v>-5252.77526678273</v>
      </c>
      <c r="C72" s="0" t="n">
        <f aca="false">Sim_Investigativ!J70</f>
        <v>-543.884761764841</v>
      </c>
      <c r="D72" s="0" t="n">
        <f aca="false">Sim_Gemischt!J70</f>
        <v>21350.8334040209</v>
      </c>
    </row>
    <row r="73" customFormat="false" ht="15" hidden="false" customHeight="false" outlineLevel="0" collapsed="false">
      <c r="A73" s="0" t="n">
        <f aca="false">Sim_Boulevard!A71</f>
        <v>70</v>
      </c>
      <c r="B73" s="0" t="n">
        <f aca="false">Sim_Boulevard!J71</f>
        <v>-5343.27140310959</v>
      </c>
      <c r="C73" s="0" t="n">
        <f aca="false">Sim_Investigativ!J71</f>
        <v>-533.776975240267</v>
      </c>
      <c r="D73" s="0" t="n">
        <f aca="false">Sim_Gemischt!J71</f>
        <v>21887.1643782951</v>
      </c>
    </row>
    <row r="74" customFormat="false" ht="15" hidden="false" customHeight="false" outlineLevel="0" collapsed="false">
      <c r="A74" s="0" t="n">
        <f aca="false">Sim_Boulevard!A72</f>
        <v>71</v>
      </c>
      <c r="B74" s="0" t="n">
        <f aca="false">Sim_Boulevard!J72</f>
        <v>-5433.77780086347</v>
      </c>
      <c r="C74" s="0" t="n">
        <f aca="false">Sim_Investigativ!J72</f>
        <v>-523.341824326232</v>
      </c>
      <c r="D74" s="0" t="n">
        <f aca="false">Sim_Gemischt!J72</f>
        <v>22427.8556838804</v>
      </c>
    </row>
    <row r="75" customFormat="false" ht="15" hidden="false" customHeight="false" outlineLevel="0" collapsed="false">
      <c r="A75" s="0" t="n">
        <f aca="false">Sim_Boulevard!A73</f>
        <v>72</v>
      </c>
      <c r="B75" s="0" t="n">
        <f aca="false">Sim_Boulevard!J73</f>
        <v>-5524.29413037403</v>
      </c>
      <c r="C75" s="0" t="n">
        <f aca="false">Sim_Investigativ!J73</f>
        <v>-512.589556675916</v>
      </c>
      <c r="D75" s="0" t="n">
        <f aca="false">Sim_Gemischt!J73</f>
        <v>22969.727972718</v>
      </c>
    </row>
    <row r="76" customFormat="false" ht="15" hidden="false" customHeight="false" outlineLevel="0" collapsed="false">
      <c r="A76" s="0" t="n">
        <f aca="false">Sim_Boulevard!A74</f>
        <v>73</v>
      </c>
      <c r="B76" s="0" t="n">
        <f aca="false">Sim_Boulevard!J74</f>
        <v>-5614.82007513519</v>
      </c>
      <c r="C76" s="0" t="n">
        <f aca="false">Sim_Investigativ!J74</f>
        <v>-501.530099482689</v>
      </c>
      <c r="D76" s="0" t="n">
        <f aca="false">Sim_Gemischt!J74</f>
        <v>23515.8079220647</v>
      </c>
    </row>
    <row r="77" customFormat="false" ht="15" hidden="false" customHeight="false" outlineLevel="0" collapsed="false">
      <c r="A77" s="0" t="n">
        <f aca="false">Sim_Boulevard!A75</f>
        <v>74</v>
      </c>
      <c r="B77" s="0" t="n">
        <f aca="false">Sim_Boulevard!J75</f>
        <v>-5705.35533091903</v>
      </c>
      <c r="C77" s="0" t="n">
        <f aca="false">Sim_Investigativ!J75</f>
        <v>-490.173069062439</v>
      </c>
      <c r="D77" s="0" t="n">
        <f aca="false">Sim_Gemischt!J75</f>
        <v>24062.8934781653</v>
      </c>
    </row>
    <row r="78" customFormat="false" ht="15" hidden="false" customHeight="false" outlineLevel="0" collapsed="false">
      <c r="A78" s="0" t="n">
        <f aca="false">Sim_Boulevard!A76</f>
        <v>75</v>
      </c>
      <c r="B78" s="0" t="n">
        <f aca="false">Sim_Boulevard!J76</f>
        <v>-5795.89960499005</v>
      </c>
      <c r="C78" s="0" t="n">
        <f aca="false">Sim_Investigativ!J76</f>
        <v>-478.527780208271</v>
      </c>
      <c r="D78" s="0" t="n">
        <f aca="false">Sim_Gemischt!J76</f>
        <v>24614.0431301589</v>
      </c>
    </row>
    <row r="79" customFormat="false" ht="15" hidden="false" customHeight="false" outlineLevel="0" collapsed="false">
      <c r="A79" s="0" t="n">
        <f aca="false">Sim_Boulevard!A77</f>
        <v>76</v>
      </c>
      <c r="B79" s="0" t="n">
        <f aca="false">Sim_Boulevard!J77</f>
        <v>-5886.45261540553</v>
      </c>
      <c r="C79" s="0" t="n">
        <f aca="false">Sim_Investigativ!J77</f>
        <v>-466.60325531613</v>
      </c>
      <c r="D79" s="0" t="n">
        <f aca="false">Sim_Gemischt!J77</f>
        <v>25166.0334479992</v>
      </c>
    </row>
    <row r="80" customFormat="false" ht="15" hidden="false" customHeight="false" outlineLevel="0" collapsed="false">
      <c r="A80" s="0" t="n">
        <f aca="false">Sim_Boulevard!A78</f>
        <v>77</v>
      </c>
      <c r="B80" s="0" t="n">
        <f aca="false">Sim_Boulevard!J78</f>
        <v>-5977.01409039014</v>
      </c>
      <c r="C80" s="0" t="n">
        <f aca="false">Sim_Investigativ!J78</f>
        <v>-454.408233280896</v>
      </c>
      <c r="D80" s="0" t="n">
        <f aca="false">Sim_Gemischt!J78</f>
        <v>25721.9528419996</v>
      </c>
    </row>
    <row r="81" customFormat="false" ht="15" hidden="false" customHeight="false" outlineLevel="0" collapsed="false">
      <c r="A81" s="0" t="n">
        <f aca="false">Sim_Boulevard!A79</f>
        <v>78</v>
      </c>
      <c r="B81" s="0" t="n">
        <f aca="false">Sim_Boulevard!J79</f>
        <v>-6067.58376777458</v>
      </c>
      <c r="C81" s="0" t="n">
        <f aca="false">Sim_Investigativ!J79</f>
        <v>-441.951178163327</v>
      </c>
      <c r="D81" s="0" t="n">
        <f aca="false">Sim_Gemischt!J79</f>
        <v>26278.5577601291</v>
      </c>
    </row>
    <row r="82" customFormat="false" ht="15" hidden="false" customHeight="false" outlineLevel="0" collapsed="false">
      <c r="A82" s="0" t="n">
        <f aca="false">Sim_Boulevard!A80</f>
        <v>79</v>
      </c>
      <c r="B82" s="0" t="n">
        <f aca="false">Sim_Boulevard!J80</f>
        <v>-6158.16139448944</v>
      </c>
      <c r="C82" s="0" t="n">
        <f aca="false">Sim_Investigativ!J80</f>
        <v>-429.240287628977</v>
      </c>
      <c r="D82" s="0" t="n">
        <f aca="false">Sim_Gemischt!J80</f>
        <v>26838.9647578565</v>
      </c>
    </row>
    <row r="83" customFormat="false" ht="15" hidden="false" customHeight="false" outlineLevel="0" collapsed="false">
      <c r="A83" s="0" t="n">
        <f aca="false">Sim_Boulevard!A81</f>
        <v>80</v>
      </c>
      <c r="B83" s="0" t="n">
        <f aca="false">Sim_Boulevard!J81</f>
        <v>-6248.74672610701</v>
      </c>
      <c r="C83" s="0" t="n">
        <f aca="false">Sim_Investigativ!J81</f>
        <v>-416.283501160803</v>
      </c>
      <c r="D83" s="0" t="n">
        <f aca="false">Sim_Gemischt!J81</f>
        <v>27399.9113438503</v>
      </c>
    </row>
    <row r="84" customFormat="false" ht="15" hidden="false" customHeight="false" outlineLevel="0" collapsed="false">
      <c r="A84" s="0" t="n">
        <f aca="false">Sim_Boulevard!A82</f>
        <v>81</v>
      </c>
      <c r="B84" s="0" t="n">
        <f aca="false">Sim_Boulevard!J82</f>
        <v>-6339.3395264246</v>
      </c>
      <c r="C84" s="0" t="n">
        <f aca="false">Sim_Investigativ!J82</f>
        <v>-403.088508047735</v>
      </c>
      <c r="D84" s="0" t="n">
        <f aca="false">Sim_Gemischt!J82</f>
        <v>27964.5405498089</v>
      </c>
    </row>
    <row r="85" customFormat="false" ht="15" hidden="false" customHeight="false" outlineLevel="0" collapsed="false">
      <c r="A85" s="0" t="n">
        <f aca="false">Sim_Boulevard!A83</f>
        <v>82</v>
      </c>
      <c r="B85" s="0" t="n">
        <f aca="false">Sim_Boulevard!J83</f>
        <v>-6429.93956708392</v>
      </c>
      <c r="C85" s="0" t="n">
        <f aca="false">Sim_Investigativ!J83</f>
        <v>-389.662755151943</v>
      </c>
      <c r="D85" s="0" t="n">
        <f aca="false">Sim_Gemischt!J83</f>
        <v>28529.5720596976</v>
      </c>
    </row>
    <row r="86" customFormat="false" ht="15" hidden="false" customHeight="false" outlineLevel="0" collapsed="false">
      <c r="A86" s="0" t="n">
        <f aca="false">Sim_Boulevard!A84</f>
        <v>83</v>
      </c>
      <c r="B86" s="0" t="n">
        <f aca="false">Sim_Boulevard!J84</f>
        <v>-6520.54662722203</v>
      </c>
      <c r="C86" s="0" t="n">
        <f aca="false">Sim_Investigativ!J84</f>
        <v>-376.01345445788</v>
      </c>
      <c r="D86" s="0" t="n">
        <f aca="false">Sim_Gemischt!J84</f>
        <v>29098.1738126923</v>
      </c>
    </row>
    <row r="87" customFormat="false" ht="15" hidden="false" customHeight="false" outlineLevel="0" collapsed="false">
      <c r="A87" s="0" t="n">
        <f aca="false">Sim_Boulevard!A85</f>
        <v>84</v>
      </c>
      <c r="B87" s="0" t="n">
        <f aca="false">Sim_Boulevard!J85</f>
        <v>-6611.16049314977</v>
      </c>
      <c r="C87" s="0" t="n">
        <f aca="false">Sim_Investigativ!J85</f>
        <v>-362.147590406552</v>
      </c>
      <c r="D87" s="0" t="n">
        <f aca="false">Sim_Gemischt!J85</f>
        <v>29667.0487180886</v>
      </c>
    </row>
    <row r="88" customFormat="false" ht="15" hidden="false" customHeight="false" outlineLevel="0" collapsed="false">
      <c r="A88" s="0" t="n">
        <f aca="false">Sim_Boulevard!A86</f>
        <v>85</v>
      </c>
      <c r="B88" s="0" t="n">
        <f aca="false">Sim_Boulevard!J86</f>
        <v>-6701.78095805441</v>
      </c>
      <c r="C88" s="0" t="n">
        <f aca="false">Sim_Investigativ!J86</f>
        <v>-348.0719270187</v>
      </c>
      <c r="D88" s="0" t="n">
        <f aca="false">Sim_Gemischt!J86</f>
        <v>30239.3881476119</v>
      </c>
    </row>
    <row r="89" customFormat="false" ht="15" hidden="false" customHeight="false" outlineLevel="0" collapsed="false">
      <c r="A89" s="0" t="n">
        <f aca="false">Sim_Boulevard!A87</f>
        <v>86</v>
      </c>
      <c r="B89" s="0" t="n">
        <f aca="false">Sim_Boulevard!J87</f>
        <v>-6792.40782172341</v>
      </c>
      <c r="C89" s="0" t="n">
        <f aca="false">Sim_Investigativ!J87</f>
        <v>-333.793014810807</v>
      </c>
      <c r="D89" s="0" t="n">
        <f aca="false">Sim_Gemischt!J87</f>
        <v>30811.8792248104</v>
      </c>
    </row>
    <row r="90" customFormat="false" ht="15" hidden="false" customHeight="false" outlineLevel="0" collapsed="false">
      <c r="A90" s="0" t="n">
        <f aca="false">Sim_Boulevard!A88</f>
        <v>87</v>
      </c>
      <c r="B90" s="0" t="n">
        <f aca="false">Sim_Boulevard!J88</f>
        <v>-6883.04089028712</v>
      </c>
      <c r="C90" s="0" t="n">
        <f aca="false">Sim_Investigativ!J88</f>
        <v>-319.317197508037</v>
      </c>
      <c r="D90" s="0" t="n">
        <f aca="false">Sim_Gemischt!J88</f>
        <v>31387.7353670033</v>
      </c>
    </row>
    <row r="91" customFormat="false" ht="15" hidden="false" customHeight="false" outlineLevel="0" collapsed="false">
      <c r="A91" s="0" t="n">
        <f aca="false">Sim_Boulevard!A89</f>
        <v>88</v>
      </c>
      <c r="B91" s="0" t="n">
        <f aca="false">Sim_Boulevard!J89</f>
        <v>-6973.67997597799</v>
      </c>
      <c r="C91" s="0" t="n">
        <f aca="false">Sim_Investigativ!J89</f>
        <v>-304.650618558328</v>
      </c>
      <c r="D91" s="0" t="n">
        <f aca="false">Sim_Gemischt!J89</f>
        <v>31963.6288431506</v>
      </c>
    </row>
    <row r="92" customFormat="false" ht="15" hidden="false" customHeight="false" outlineLevel="0" collapsed="false">
      <c r="A92" s="0" t="n">
        <f aca="false">Sim_Boulevard!A90</f>
        <v>89</v>
      </c>
      <c r="B92" s="0" t="n">
        <f aca="false">Sim_Boulevard!J90</f>
        <v>-7064.32489690458</v>
      </c>
      <c r="C92" s="0" t="n">
        <f aca="false">Sim_Investigativ!J90</f>
        <v>-289.799227451997</v>
      </c>
      <c r="D92" s="0" t="n">
        <f aca="false">Sim_Gemischt!J90</f>
        <v>32542.7938117595</v>
      </c>
    </row>
    <row r="93" customFormat="false" ht="15" hidden="false" customHeight="false" outlineLevel="0" collapsed="false">
      <c r="A93" s="0" t="n">
        <f aca="false">Sim_Boulevard!A91</f>
        <v>90</v>
      </c>
      <c r="B93" s="0" t="n">
        <f aca="false">Sim_Boulevard!J91</f>
        <v>-7154.97547683887</v>
      </c>
      <c r="C93" s="0" t="n">
        <f aca="false">Sim_Investigativ!J91</f>
        <v>-274.768785851272</v>
      </c>
      <c r="D93" s="0" t="n">
        <f aca="false">Sim_Gemischt!J91</f>
        <v>33121.8885638231</v>
      </c>
    </row>
    <row r="94" customFormat="false" ht="15" hidden="false" customHeight="false" outlineLevel="0" collapsed="false">
      <c r="A94" s="0" t="n">
        <f aca="false">Sim_Boulevard!A92</f>
        <v>91</v>
      </c>
      <c r="B94" s="0" t="n">
        <f aca="false">Sim_Boulevard!J92</f>
        <v>-7245.63154501529</v>
      </c>
      <c r="C94" s="0" t="n">
        <f aca="false">Sim_Investigativ!J92</f>
        <v>-259.564873534242</v>
      </c>
      <c r="D94" s="0" t="n">
        <f aca="false">Sim_Gemischt!J92</f>
        <v>33704.1667721403</v>
      </c>
    </row>
    <row r="95" customFormat="false" ht="15" hidden="false" customHeight="false" outlineLevel="0" collapsed="false">
      <c r="A95" s="0" t="n">
        <f aca="false">Sim_Boulevard!A93</f>
        <v>92</v>
      </c>
      <c r="B95" s="0" t="n">
        <f aca="false">Sim_Boulevard!J93</f>
        <v>-7336.29293594056</v>
      </c>
      <c r="C95" s="0" t="n">
        <f aca="false">Sim_Investigativ!J93</f>
        <v>-244.192894157729</v>
      </c>
      <c r="D95" s="0" t="n">
        <f aca="false">Sim_Gemischt!J93</f>
        <v>34286.2735749071</v>
      </c>
    </row>
    <row r="96" customFormat="false" ht="15" hidden="false" customHeight="false" outlineLevel="0" collapsed="false">
      <c r="A96" s="0" t="n">
        <f aca="false">Sim_Boulevard!A94</f>
        <v>93</v>
      </c>
      <c r="B96" s="0" t="n">
        <f aca="false">Sim_Boulevard!J94</f>
        <v>-7426.95948921308</v>
      </c>
      <c r="C96" s="0" t="n">
        <f aca="false">Sim_Investigativ!J94</f>
        <v>-228.658080843619</v>
      </c>
      <c r="D96" s="0" t="n">
        <f aca="false">Sim_Gemischt!J94</f>
        <v>34871.4810051304</v>
      </c>
    </row>
    <row r="97" customFormat="false" ht="15" hidden="false" customHeight="false" outlineLevel="0" collapsed="false">
      <c r="A97" s="0" t="n">
        <f aca="false">Sim_Boulevard!A95</f>
        <v>94</v>
      </c>
      <c r="B97" s="0" t="n">
        <f aca="false">Sim_Boulevard!J95</f>
        <v>-7517.6310493512</v>
      </c>
      <c r="C97" s="0" t="n">
        <f aca="false">Sim_Investigativ!J95</f>
        <v>-212.965501593179</v>
      </c>
      <c r="D97" s="0" t="n">
        <f aca="false">Sim_Gemischt!J95</f>
        <v>35456.4218248687</v>
      </c>
    </row>
    <row r="98" customFormat="false" ht="15" hidden="false" customHeight="false" outlineLevel="0" collapsed="false">
      <c r="A98" s="0" t="n">
        <f aca="false">Sim_Boulevard!A96</f>
        <v>95</v>
      </c>
      <c r="B98" s="0" t="n">
        <f aca="false">Sim_Boulevard!J96</f>
        <v>-7608.30746562938</v>
      </c>
      <c r="C98" s="0" t="n">
        <f aca="false">Sim_Investigativ!J96</f>
        <v>-197.120064533861</v>
      </c>
      <c r="D98" s="0" t="n">
        <f aca="false">Sim_Gemischt!J96</f>
        <v>36044.3853416786</v>
      </c>
    </row>
    <row r="99" customFormat="false" ht="15" hidden="false" customHeight="false" outlineLevel="0" collapsed="false">
      <c r="A99" s="0" t="n">
        <f aca="false">Sim_Boulevard!A97</f>
        <v>96</v>
      </c>
      <c r="B99" s="0" t="n">
        <f aca="false">Sim_Boulevard!J97</f>
        <v>-7698.98859192178</v>
      </c>
      <c r="C99" s="0" t="n">
        <f aca="false">Sim_Investigativ!J97</f>
        <v>-181.12652300308</v>
      </c>
      <c r="D99" s="0" t="n">
        <f aca="false">Sim_Gemischt!J97</f>
        <v>36631.9926724262</v>
      </c>
    </row>
    <row r="100" customFormat="false" ht="15" hidden="false" customHeight="false" outlineLevel="0" collapsed="false">
      <c r="A100" s="0" t="n">
        <f aca="false">Sim_Boulevard!A98</f>
        <v>97</v>
      </c>
      <c r="B100" s="0" t="n">
        <f aca="false">Sim_Boulevard!J98</f>
        <v>-7789.67428655259</v>
      </c>
      <c r="C100" s="0" t="n">
        <f aca="false">Sim_Investigativ!J98</f>
        <v>-164.989480473408</v>
      </c>
      <c r="D100" s="0" t="n">
        <f aca="false">Sim_Gemischt!J98</f>
        <v>37222.54937788</v>
      </c>
    </row>
    <row r="101" customFormat="false" ht="15" hidden="false" customHeight="false" outlineLevel="0" collapsed="false">
      <c r="A101" s="0" t="n">
        <f aca="false">Sim_Boulevard!A99</f>
        <v>98</v>
      </c>
      <c r="B101" s="0" t="n">
        <f aca="false">Sim_Boulevard!J99</f>
        <v>-7880.36441215259</v>
      </c>
      <c r="C101" s="0" t="n">
        <f aca="false">Sim_Investigativ!J99</f>
        <v>-148.713395323565</v>
      </c>
      <c r="D101" s="0" t="n">
        <f aca="false">Sim_Gemischt!J99</f>
        <v>37812.6656175948</v>
      </c>
    </row>
    <row r="102" customFormat="false" ht="15" hidden="false" customHeight="false" outlineLevel="0" collapsed="false">
      <c r="A102" s="0" t="n">
        <f aca="false">Sim_Boulevard!A100</f>
        <v>99</v>
      </c>
      <c r="B102" s="0" t="n">
        <f aca="false">Sim_Boulevard!J100</f>
        <v>-7971.05883552147</v>
      </c>
      <c r="C102" s="0" t="n">
        <f aca="false">Sim_Investigativ!J100</f>
        <v>-132.302585459548</v>
      </c>
      <c r="D102" s="0" t="n">
        <f aca="false">Sim_Gemischt!J100</f>
        <v>38405.6622446885</v>
      </c>
    </row>
    <row r="103" customFormat="false" ht="15" hidden="false" customHeight="false" outlineLevel="0" collapsed="false">
      <c r="A103" s="0" t="n">
        <f aca="false">Sim_Boulevard!A101</f>
        <v>100</v>
      </c>
      <c r="B103" s="0" t="n">
        <f aca="false">Sim_Boulevard!J101</f>
        <v>-8061.75742749565</v>
      </c>
      <c r="C103" s="0" t="n">
        <f aca="false">Sim_Investigativ!J101</f>
        <v>-115.76123279016</v>
      </c>
      <c r="D103" s="0" t="n">
        <f aca="false">Sim_Gemischt!J101</f>
        <v>38998.1391087285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2026-07-28T18:24:11Z</dcterms:created>
  <dc:creator>openpyxl</dc:creator>
  <dc:description/>
  <dc:language>en-US</dc:language>
  <cp:lastModifiedBy/>
  <dcterms:modified xsi:type="dcterms:W3CDTF">2026-07-28T18:24:14Z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